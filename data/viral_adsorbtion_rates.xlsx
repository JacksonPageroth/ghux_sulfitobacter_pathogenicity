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https://liveutk-my.sharepoint.com/personal/jrproth_vols_utk_edu/Documents/University of Tennessee/Talmy lab/ehux_exp/analysis/"/>
    </mc:Choice>
  </mc:AlternateContent>
  <xr:revisionPtr revIDLastSave="0" documentId="8_{F5EE7CC8-A8BB-0241-A86F-4070829B7347}" xr6:coauthVersionLast="47" xr6:coauthVersionMax="47" xr10:uidLastSave="{00000000-0000-0000-0000-000000000000}"/>
  <bookViews>
    <workbookView xWindow="0" yWindow="600" windowWidth="51200" windowHeight="26400" tabRatio="991" xr2:uid="{1D2BB96C-F784-7D4D-90D6-77B6E6980374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N2" i="1" s="1"/>
  <c r="M2" i="1"/>
  <c r="O2" i="1" s="1"/>
  <c r="L3" i="1"/>
  <c r="N3" i="1" s="1"/>
  <c r="M3" i="1"/>
  <c r="O3" i="1" s="1"/>
  <c r="L4" i="1"/>
  <c r="M4" i="1"/>
  <c r="O4" i="1" s="1"/>
  <c r="N4" i="1"/>
  <c r="L5" i="1"/>
  <c r="N5" i="1" s="1"/>
  <c r="M5" i="1"/>
  <c r="O5" i="1" s="1"/>
  <c r="L6" i="1"/>
  <c r="M6" i="1"/>
  <c r="O6" i="1" s="1"/>
  <c r="N6" i="1"/>
  <c r="D7" i="1"/>
  <c r="E7" i="1"/>
  <c r="L7" i="1"/>
  <c r="N7" i="1" s="1"/>
  <c r="M7" i="1"/>
  <c r="O7" i="1"/>
  <c r="D8" i="1"/>
  <c r="E8" i="1" s="1"/>
  <c r="L8" i="1"/>
  <c r="M8" i="1"/>
  <c r="O8" i="1" s="1"/>
  <c r="N8" i="1"/>
  <c r="D9" i="1"/>
  <c r="E9" i="1"/>
  <c r="L9" i="1"/>
  <c r="N9" i="1" s="1"/>
  <c r="M9" i="1"/>
  <c r="O9" i="1"/>
  <c r="D10" i="1"/>
  <c r="E10" i="1" s="1"/>
  <c r="L10" i="1"/>
  <c r="M10" i="1"/>
  <c r="O10" i="1" s="1"/>
  <c r="N10" i="1"/>
  <c r="L11" i="1"/>
  <c r="M11" i="1"/>
  <c r="O11" i="1" s="1"/>
  <c r="N11" i="1"/>
  <c r="E12" i="1"/>
  <c r="L12" i="1"/>
  <c r="N12" i="1" s="1"/>
  <c r="M12" i="1"/>
  <c r="O12" i="1" s="1"/>
  <c r="E13" i="1"/>
  <c r="L13" i="1"/>
  <c r="N13" i="1" s="1"/>
  <c r="M13" i="1"/>
  <c r="O13" i="1"/>
  <c r="E14" i="1"/>
  <c r="L14" i="1"/>
  <c r="M14" i="1"/>
  <c r="N14" i="1"/>
  <c r="O14" i="1"/>
  <c r="E15" i="1"/>
  <c r="L15" i="1"/>
  <c r="M15" i="1"/>
  <c r="O15" i="1" s="1"/>
  <c r="N15" i="1"/>
  <c r="E16" i="1"/>
  <c r="L16" i="1"/>
  <c r="N16" i="1" s="1"/>
  <c r="M16" i="1"/>
  <c r="O16" i="1" s="1"/>
  <c r="E17" i="1"/>
  <c r="L17" i="1"/>
  <c r="N17" i="1" s="1"/>
  <c r="M17" i="1"/>
  <c r="O17" i="1"/>
  <c r="E18" i="1"/>
  <c r="L18" i="1"/>
  <c r="M18" i="1"/>
  <c r="N18" i="1"/>
  <c r="O18" i="1"/>
  <c r="L19" i="1"/>
  <c r="M19" i="1"/>
  <c r="N19" i="1"/>
  <c r="O19" i="1"/>
  <c r="L20" i="1"/>
  <c r="M20" i="1"/>
  <c r="N20" i="1"/>
  <c r="O20" i="1"/>
  <c r="L22" i="1"/>
  <c r="M22" i="1"/>
  <c r="N22" i="1"/>
  <c r="O22" i="1"/>
  <c r="L23" i="1"/>
  <c r="M23" i="1"/>
  <c r="N23" i="1"/>
  <c r="O23" i="1"/>
  <c r="L24" i="1"/>
  <c r="M24" i="1"/>
  <c r="N24" i="1"/>
  <c r="O24" i="1"/>
  <c r="L25" i="1"/>
  <c r="M25" i="1"/>
  <c r="N25" i="1"/>
  <c r="O25" i="1"/>
  <c r="L26" i="1"/>
  <c r="M26" i="1"/>
  <c r="N26" i="1"/>
  <c r="O26" i="1"/>
  <c r="L27" i="1"/>
  <c r="M27" i="1"/>
  <c r="N27" i="1"/>
  <c r="O27" i="1"/>
  <c r="L28" i="1"/>
  <c r="M28" i="1"/>
  <c r="N28" i="1"/>
  <c r="O28" i="1"/>
  <c r="C29" i="1"/>
  <c r="L29" i="1"/>
  <c r="M29" i="1"/>
  <c r="O29" i="1" s="1"/>
  <c r="N29" i="1"/>
  <c r="L30" i="1"/>
  <c r="M30" i="1"/>
  <c r="O30" i="1" s="1"/>
  <c r="N30" i="1"/>
  <c r="C31" i="1"/>
  <c r="D31" i="1"/>
  <c r="E31" i="1"/>
  <c r="L31" i="1"/>
  <c r="M31" i="1"/>
  <c r="N31" i="1"/>
  <c r="O31" i="1"/>
  <c r="D32" i="1"/>
  <c r="E32" i="1"/>
  <c r="L32" i="1"/>
  <c r="N32" i="1" s="1"/>
  <c r="M32" i="1"/>
  <c r="O32" i="1" s="1"/>
  <c r="L33" i="1"/>
  <c r="N33" i="1" s="1"/>
  <c r="M33" i="1"/>
  <c r="O33" i="1" s="1"/>
  <c r="E34" i="1"/>
  <c r="L34" i="1"/>
  <c r="N34" i="1" s="1"/>
  <c r="M34" i="1"/>
  <c r="O34" i="1"/>
  <c r="L35" i="1"/>
  <c r="N35" i="1" s="1"/>
  <c r="M35" i="1"/>
  <c r="O35" i="1"/>
  <c r="L36" i="1"/>
  <c r="N36" i="1" s="1"/>
  <c r="M36" i="1"/>
  <c r="O36" i="1"/>
  <c r="L37" i="1"/>
  <c r="N37" i="1" s="1"/>
  <c r="M37" i="1"/>
  <c r="O37" i="1"/>
  <c r="L38" i="1"/>
  <c r="N38" i="1" s="1"/>
  <c r="M38" i="1"/>
  <c r="O38" i="1"/>
  <c r="L39" i="1"/>
  <c r="N39" i="1" s="1"/>
  <c r="M39" i="1"/>
  <c r="O39" i="1"/>
  <c r="L40" i="1"/>
  <c r="N40" i="1" s="1"/>
  <c r="M40" i="1"/>
  <c r="O40" i="1"/>
  <c r="D42" i="1"/>
  <c r="E42" i="1" s="1"/>
  <c r="L42" i="1"/>
  <c r="M42" i="1"/>
  <c r="O42" i="1" s="1"/>
  <c r="N42" i="1"/>
  <c r="D43" i="1"/>
  <c r="E43" i="1"/>
  <c r="L43" i="1"/>
  <c r="N43" i="1" s="1"/>
  <c r="M43" i="1"/>
  <c r="O43" i="1"/>
  <c r="E44" i="1"/>
  <c r="L44" i="1"/>
  <c r="M44" i="1"/>
  <c r="N44" i="1"/>
  <c r="O44" i="1"/>
  <c r="D45" i="1"/>
  <c r="E45" i="1"/>
  <c r="L45" i="1"/>
  <c r="N45" i="1" s="1"/>
  <c r="M45" i="1"/>
  <c r="O45" i="1" s="1"/>
  <c r="D46" i="1"/>
  <c r="E46" i="1"/>
  <c r="L46" i="1"/>
  <c r="M46" i="1"/>
  <c r="N46" i="1"/>
  <c r="O46" i="1"/>
  <c r="E47" i="1"/>
  <c r="L47" i="1"/>
  <c r="M47" i="1"/>
  <c r="O47" i="1" s="1"/>
  <c r="N47" i="1"/>
  <c r="E48" i="1"/>
  <c r="L48" i="1"/>
  <c r="N48" i="1" s="1"/>
  <c r="M48" i="1"/>
  <c r="O48" i="1" s="1"/>
  <c r="E49" i="1"/>
  <c r="L49" i="1"/>
  <c r="N49" i="1" s="1"/>
  <c r="M49" i="1"/>
  <c r="O49" i="1"/>
  <c r="E50" i="1"/>
  <c r="L50" i="1"/>
  <c r="M50" i="1"/>
  <c r="N50" i="1"/>
  <c r="O50" i="1"/>
  <c r="E51" i="1"/>
  <c r="L51" i="1"/>
  <c r="M51" i="1"/>
  <c r="O51" i="1" s="1"/>
  <c r="N51" i="1"/>
  <c r="E52" i="1"/>
  <c r="L52" i="1"/>
  <c r="N52" i="1" s="1"/>
  <c r="M52" i="1"/>
  <c r="O52" i="1" s="1"/>
  <c r="E53" i="1"/>
  <c r="L53" i="1"/>
  <c r="N53" i="1" s="1"/>
  <c r="M53" i="1"/>
  <c r="O53" i="1"/>
  <c r="E54" i="1"/>
  <c r="L54" i="1"/>
  <c r="M54" i="1"/>
  <c r="N54" i="1"/>
  <c r="O54" i="1"/>
  <c r="C55" i="1"/>
  <c r="E55" i="1"/>
  <c r="L55" i="1"/>
  <c r="N55" i="1" s="1"/>
  <c r="M55" i="1"/>
  <c r="O55" i="1" s="1"/>
  <c r="E56" i="1"/>
  <c r="L56" i="1"/>
  <c r="N56" i="1" s="1"/>
  <c r="M56" i="1"/>
  <c r="O56" i="1"/>
  <c r="E57" i="1"/>
  <c r="L57" i="1"/>
  <c r="M57" i="1"/>
  <c r="N57" i="1"/>
  <c r="O57" i="1"/>
  <c r="E58" i="1"/>
  <c r="L58" i="1"/>
  <c r="M58" i="1"/>
  <c r="O58" i="1" s="1"/>
  <c r="N58" i="1"/>
  <c r="E59" i="1"/>
  <c r="L59" i="1"/>
  <c r="N59" i="1" s="1"/>
  <c r="M59" i="1"/>
  <c r="O59" i="1" s="1"/>
  <c r="E60" i="1"/>
  <c r="L60" i="1"/>
  <c r="N60" i="1" s="1"/>
  <c r="M60" i="1"/>
  <c r="O60" i="1"/>
  <c r="E61" i="1"/>
  <c r="L61" i="1"/>
  <c r="M61" i="1"/>
  <c r="N61" i="1"/>
  <c r="O61" i="1"/>
  <c r="E62" i="1"/>
  <c r="L62" i="1"/>
  <c r="M62" i="1"/>
  <c r="O62" i="1" s="1"/>
  <c r="N62" i="1"/>
  <c r="L63" i="1"/>
  <c r="M63" i="1"/>
  <c r="O63" i="1" s="1"/>
  <c r="N63" i="1"/>
  <c r="L64" i="1"/>
  <c r="M64" i="1"/>
  <c r="O64" i="1" s="1"/>
  <c r="N64" i="1"/>
  <c r="L65" i="1"/>
  <c r="M65" i="1"/>
  <c r="O65" i="1" s="1"/>
  <c r="N65" i="1"/>
  <c r="D66" i="1"/>
  <c r="E66" i="1"/>
  <c r="L66" i="1"/>
  <c r="N66" i="1" s="1"/>
  <c r="M66" i="1"/>
  <c r="O66" i="1"/>
  <c r="D67" i="1"/>
  <c r="E67" i="1" s="1"/>
  <c r="L67" i="1"/>
  <c r="M67" i="1"/>
  <c r="O67" i="1" s="1"/>
  <c r="N67" i="1"/>
  <c r="D68" i="1"/>
  <c r="E68" i="1"/>
  <c r="L68" i="1"/>
  <c r="N68" i="1" s="1"/>
  <c r="M68" i="1"/>
  <c r="O68" i="1"/>
  <c r="D69" i="1"/>
  <c r="E69" i="1" s="1"/>
  <c r="L69" i="1"/>
  <c r="M69" i="1"/>
  <c r="O69" i="1" s="1"/>
  <c r="N69" i="1"/>
  <c r="D70" i="1"/>
  <c r="E70" i="1"/>
  <c r="L70" i="1"/>
  <c r="N70" i="1" s="1"/>
  <c r="M70" i="1"/>
  <c r="O70" i="1"/>
  <c r="D71" i="1"/>
  <c r="E71" i="1" s="1"/>
  <c r="L71" i="1"/>
  <c r="M71" i="1"/>
  <c r="O71" i="1" s="1"/>
  <c r="N71" i="1"/>
  <c r="L72" i="1"/>
  <c r="M72" i="1"/>
  <c r="O72" i="1" s="1"/>
  <c r="N72" i="1"/>
  <c r="L73" i="1"/>
  <c r="M73" i="1"/>
  <c r="O73" i="1" s="1"/>
  <c r="N73" i="1"/>
  <c r="L74" i="1"/>
  <c r="M74" i="1"/>
  <c r="O74" i="1" s="1"/>
  <c r="N74" i="1"/>
  <c r="D75" i="1"/>
  <c r="E75" i="1"/>
  <c r="L75" i="1"/>
  <c r="N75" i="1" s="1"/>
  <c r="M75" i="1"/>
  <c r="O75" i="1"/>
  <c r="D76" i="1"/>
  <c r="E76" i="1" s="1"/>
  <c r="L76" i="1"/>
  <c r="M76" i="1"/>
  <c r="O76" i="1" s="1"/>
  <c r="N76" i="1"/>
  <c r="D77" i="1"/>
  <c r="E77" i="1"/>
  <c r="L77" i="1"/>
  <c r="N77" i="1" s="1"/>
  <c r="M77" i="1"/>
  <c r="O77" i="1"/>
  <c r="E78" i="1"/>
  <c r="L78" i="1"/>
  <c r="M78" i="1"/>
  <c r="N78" i="1"/>
  <c r="O78" i="1"/>
  <c r="D79" i="1"/>
  <c r="E79" i="1"/>
  <c r="L79" i="1"/>
  <c r="N79" i="1" s="1"/>
  <c r="M79" i="1"/>
  <c r="O79" i="1" s="1"/>
  <c r="E80" i="1"/>
  <c r="L80" i="1"/>
  <c r="N80" i="1" s="1"/>
  <c r="M80" i="1"/>
  <c r="O80" i="1"/>
  <c r="L81" i="1"/>
  <c r="N81" i="1" s="1"/>
  <c r="M81" i="1"/>
  <c r="O81" i="1"/>
  <c r="L82" i="1"/>
  <c r="N82" i="1" s="1"/>
  <c r="M82" i="1"/>
  <c r="O82" i="1"/>
  <c r="L83" i="1"/>
  <c r="N83" i="1" s="1"/>
  <c r="M83" i="1"/>
  <c r="O83" i="1"/>
  <c r="L84" i="1"/>
  <c r="N84" i="1" s="1"/>
  <c r="M84" i="1"/>
  <c r="O84" i="1"/>
  <c r="D85" i="1"/>
  <c r="E85" i="1" s="1"/>
  <c r="L85" i="1"/>
  <c r="M85" i="1"/>
  <c r="O85" i="1" s="1"/>
  <c r="N85" i="1"/>
  <c r="E86" i="1"/>
  <c r="L86" i="1"/>
  <c r="N86" i="1" s="1"/>
  <c r="M86" i="1"/>
  <c r="O86" i="1" s="1"/>
  <c r="E87" i="1"/>
  <c r="L87" i="1"/>
  <c r="N87" i="1" s="1"/>
  <c r="M87" i="1"/>
  <c r="O87" i="1"/>
  <c r="E88" i="1"/>
  <c r="L88" i="1"/>
  <c r="M88" i="1"/>
  <c r="N88" i="1"/>
  <c r="O88" i="1"/>
  <c r="E89" i="1"/>
  <c r="L89" i="1"/>
  <c r="M89" i="1"/>
  <c r="O89" i="1" s="1"/>
  <c r="N89" i="1"/>
  <c r="L90" i="1"/>
  <c r="M90" i="1"/>
  <c r="O90" i="1" s="1"/>
  <c r="N90" i="1"/>
  <c r="L91" i="1"/>
  <c r="M91" i="1"/>
  <c r="O91" i="1" s="1"/>
  <c r="N91" i="1"/>
</calcChain>
</file>

<file path=xl/sharedStrings.xml><?xml version="1.0" encoding="utf-8"?>
<sst xmlns="http://schemas.openxmlformats.org/spreadsheetml/2006/main" count="509" uniqueCount="181">
  <si>
    <t>Host name</t>
  </si>
  <si>
    <t>Phage name</t>
  </si>
  <si>
    <t>Described virus capsid diameter (nm)</t>
  </si>
  <si>
    <t>Virus genome size (kb)</t>
  </si>
  <si>
    <t>Predicted virus radius (nm)</t>
  </si>
  <si>
    <t>Virus radius (nm)</t>
  </si>
  <si>
    <t>Host size (micron)</t>
  </si>
  <si>
    <t>Host minor axis min (micron)</t>
  </si>
  <si>
    <t>Host minor axis max (micron)</t>
  </si>
  <si>
    <t>Host major axis min (micron)</t>
  </si>
  <si>
    <t>Host major axis max (micron)</t>
  </si>
  <si>
    <t>Spheroid volume min (cubed micron)</t>
  </si>
  <si>
    <t>Spheroid volume max (cubed micron)</t>
  </si>
  <si>
    <t>Host ESR min (micron)</t>
  </si>
  <si>
    <t>Host ESR max (micron)</t>
  </si>
  <si>
    <t>Adsorption rate (ml/min)</t>
  </si>
  <si>
    <t>Reference</t>
  </si>
  <si>
    <t>Pseudomonas acidovorans</t>
  </si>
  <si>
    <t>phiW-I 4</t>
  </si>
  <si>
    <t>NA</t>
  </si>
  <si>
    <t>1-5 micron long, 0.5-1 micron wide</t>
  </si>
  <si>
    <t>Kropinski &amp; Warren. 1970</t>
  </si>
  <si>
    <t>Acholeplasma laidlawii</t>
  </si>
  <si>
    <t>L3</t>
  </si>
  <si>
    <t>0.2-0.45 micron</t>
  </si>
  <si>
    <t>Haberer &amp; Manilof. 1982</t>
  </si>
  <si>
    <t>Haemophilus influenzae</t>
  </si>
  <si>
    <t>N3</t>
  </si>
  <si>
    <t>2.0 micron long, 0.4-1.0 micron wide</t>
  </si>
  <si>
    <t>Samuels &amp; Clarke. 1969</t>
  </si>
  <si>
    <t>Streptococcus pneumoniae</t>
  </si>
  <si>
    <t>Cp-1</t>
  </si>
  <si>
    <t>60 by 45</t>
  </si>
  <si>
    <t>0.5-1.25 micron diameter</t>
  </si>
  <si>
    <t>Ronda et al. 1981</t>
  </si>
  <si>
    <t>Aerobacter aerogenes</t>
  </si>
  <si>
    <t>phiMP</t>
  </si>
  <si>
    <t>1-3 micron long</t>
  </si>
  <si>
    <t>Souza et al. 1972</t>
  </si>
  <si>
    <t>Xanthomonas spp. (strain EC12)</t>
  </si>
  <si>
    <t>Sano</t>
  </si>
  <si>
    <t>1.2-3.0 micron long, 0.4-1.0 micron wide</t>
  </si>
  <si>
    <t>Ahern et al. 2014</t>
  </si>
  <si>
    <t>Salvo</t>
  </si>
  <si>
    <t>Prado</t>
  </si>
  <si>
    <t>Paz</t>
  </si>
  <si>
    <t>Klebsiella pneumoniae</t>
  </si>
  <si>
    <t>2 micron by 0.5 micron</t>
  </si>
  <si>
    <t>vB_Klp_5</t>
  </si>
  <si>
    <t>Karumidze et al. 2013</t>
  </si>
  <si>
    <t>vB_Klox_2</t>
  </si>
  <si>
    <t>vB_Klp_1</t>
  </si>
  <si>
    <t>vB_Klp_3</t>
  </si>
  <si>
    <t>vB_Klp_4</t>
  </si>
  <si>
    <t>vB_Klp_6</t>
  </si>
  <si>
    <t>Pseudomonas aeruginosa</t>
  </si>
  <si>
    <t>BVPaP-3</t>
  </si>
  <si>
    <t>Ahiwale et al. 2012</t>
  </si>
  <si>
    <t>Pseudomonas aeruginosa PAO</t>
  </si>
  <si>
    <t>E79</t>
  </si>
  <si>
    <t>Kuzio &amp; Kropinski. 1983</t>
  </si>
  <si>
    <t>Pseudomonas aeruginosa PAO1</t>
  </si>
  <si>
    <t>D3</t>
  </si>
  <si>
    <t>Rhizobium leguminosarum</t>
  </si>
  <si>
    <t>RL1</t>
  </si>
  <si>
    <t>Dhar et al. 1978</t>
  </si>
  <si>
    <t>Bacillus subtilis SB19</t>
  </si>
  <si>
    <t>SP5</t>
  </si>
  <si>
    <t>4-10 micron long, 0.25-1 micron wide</t>
  </si>
  <si>
    <t>Brodetsky &amp; Romig. 1965</t>
  </si>
  <si>
    <t>SP6</t>
  </si>
  <si>
    <t>SP7</t>
  </si>
  <si>
    <t>SP8</t>
  </si>
  <si>
    <t>SP9</t>
  </si>
  <si>
    <t>Bacillus subtilis Marburg</t>
  </si>
  <si>
    <t>SP13-M</t>
  </si>
  <si>
    <t>Bacillus subtilis 168B</t>
  </si>
  <si>
    <t>SP13-168B</t>
  </si>
  <si>
    <t>PBS1</t>
  </si>
  <si>
    <t>Raimondo et al. 1968</t>
  </si>
  <si>
    <t>Escherichia coli O157:H7</t>
  </si>
  <si>
    <t>T2</t>
  </si>
  <si>
    <t>2 micron long, 0.25-1.0 micron wide</t>
  </si>
  <si>
    <t>Bayer 1968</t>
  </si>
  <si>
    <t xml:space="preserve">Escherichia coli  </t>
  </si>
  <si>
    <t>T5</t>
  </si>
  <si>
    <t>T3</t>
  </si>
  <si>
    <t>Pseudomonas fluorescens</t>
  </si>
  <si>
    <t>phiIBB-PF7A</t>
  </si>
  <si>
    <t>0.5-1.0 by 1.5-5.0 microns</t>
  </si>
  <si>
    <t>Sillankorva et al. 2008</t>
  </si>
  <si>
    <t>Pseudomonas aeruginosa PAO AK-1012</t>
  </si>
  <si>
    <t>phiPLS27</t>
  </si>
  <si>
    <t>Jarrell &amp; Kropinski.1981</t>
  </si>
  <si>
    <t>Lactobacillus casei</t>
  </si>
  <si>
    <t>105 by 87</t>
  </si>
  <si>
    <t>0.7-1.1 by 2.0-4.0 microns</t>
  </si>
  <si>
    <t>De Klerk et al.1963</t>
  </si>
  <si>
    <t>De Klerk et al. 1963</t>
  </si>
  <si>
    <t>Bacillus pumilus</t>
  </si>
  <si>
    <t>PBP1</t>
  </si>
  <si>
    <t>Lovett1972</t>
  </si>
  <si>
    <t>Pseudomonas putida PpG1</t>
  </si>
  <si>
    <t>phi15</t>
  </si>
  <si>
    <t>Cornelissen et al. 2011</t>
  </si>
  <si>
    <t>Pseudomonas putida RD5PR2</t>
  </si>
  <si>
    <t>Acinetobacter baumannii</t>
  </si>
  <si>
    <t>AP22</t>
  </si>
  <si>
    <t>1.0-1.5 by 1.5-2.5 microns</t>
  </si>
  <si>
    <t>Popova et al. 2012</t>
  </si>
  <si>
    <t>vB_AbaM_Acibel004</t>
  </si>
  <si>
    <t>Merabishvili et al. 2014</t>
  </si>
  <si>
    <t>vB_AbaP_Acibel007</t>
  </si>
  <si>
    <t>lambda</t>
  </si>
  <si>
    <t>De Paepe &amp; Taddei. 2006</t>
  </si>
  <si>
    <t>M13</t>
  </si>
  <si>
    <t>MS2</t>
  </si>
  <si>
    <t>Mu</t>
  </si>
  <si>
    <t>P1</t>
  </si>
  <si>
    <t>P2</t>
  </si>
  <si>
    <t>P4</t>
  </si>
  <si>
    <t>phi80</t>
  </si>
  <si>
    <t>phiX174</t>
  </si>
  <si>
    <t>PRD1</t>
  </si>
  <si>
    <t>T4</t>
  </si>
  <si>
    <t>T7</t>
  </si>
  <si>
    <t>R17</t>
  </si>
  <si>
    <t>Escherichia coli</t>
  </si>
  <si>
    <t>Storms et al. 2012</t>
  </si>
  <si>
    <t>3 micron long, 0.25-1.0 micron wide</t>
  </si>
  <si>
    <t>4 micron long, 0.25-1.0 micron wide</t>
  </si>
  <si>
    <t>5 micron long, 0.25-1.0 micron wide</t>
  </si>
  <si>
    <t>6 micron long, 0.25-1.0 micron wide</t>
  </si>
  <si>
    <t>7 micron long, 0.25-1.0 micron wide</t>
  </si>
  <si>
    <t>8 micron long, 0.25-1.0 micron wide</t>
  </si>
  <si>
    <t>9 micron long, 0.25-1.0 micron wide</t>
  </si>
  <si>
    <t>10 micron long, 0.25-1.0 micron wide</t>
  </si>
  <si>
    <t>T6</t>
  </si>
  <si>
    <t>11 micron long, 0.25-1.0 micron wide</t>
  </si>
  <si>
    <t>12 micron long, 0.25-1.0 micron wide</t>
  </si>
  <si>
    <t>13 micron long, 0.25-1.0 micron wide</t>
  </si>
  <si>
    <t>14 micron long, 0.25-1.0 micron wide</t>
  </si>
  <si>
    <t>15 micron long, 0.25-1.0 micron wide</t>
  </si>
  <si>
    <t>16 micron long, 0.25-1.0 micron wide</t>
  </si>
  <si>
    <t>Vibrio harveyi</t>
  </si>
  <si>
    <t>PW2</t>
  </si>
  <si>
    <t>0.5 by 2 microns</t>
  </si>
  <si>
    <t>Phumkhachorn et al. 2010</t>
  </si>
  <si>
    <t>Streptococcus agalactiae</t>
  </si>
  <si>
    <t>JX01</t>
  </si>
  <si>
    <t>0.2 by 1.0 microns</t>
  </si>
  <si>
    <t>Bai et al. 2013</t>
  </si>
  <si>
    <t>Staphylococcus aureus SA37</t>
  </si>
  <si>
    <t>phiMR11</t>
  </si>
  <si>
    <t>1.0 by 1.0 microns</t>
  </si>
  <si>
    <t>Matsuzaki et al. 2003</t>
  </si>
  <si>
    <t>3H</t>
  </si>
  <si>
    <t>1.2-3.0 micron long, 0.5-0.9 micron wide</t>
  </si>
  <si>
    <t>Staniewsky 1987</t>
  </si>
  <si>
    <t>Rhizobium meliloti</t>
  </si>
  <si>
    <t>2A</t>
  </si>
  <si>
    <t>phiKMV</t>
  </si>
  <si>
    <t>Chibeu et al. 2009</t>
  </si>
  <si>
    <t>Pseudomonas aeruginosa BI</t>
  </si>
  <si>
    <t>Reese et al. 1974</t>
  </si>
  <si>
    <t>J1</t>
  </si>
  <si>
    <t>Murata 1971</t>
  </si>
  <si>
    <t>Bacillus cereus</t>
  </si>
  <si>
    <t>phiJL-1</t>
  </si>
  <si>
    <t>3-4 micron long, 1 micron wide</t>
  </si>
  <si>
    <t>Lu et al. 2003</t>
  </si>
  <si>
    <t>Bradyrhizobium japonicum</t>
  </si>
  <si>
    <t>V</t>
  </si>
  <si>
    <t>1.2-3 micron long, 0.5-0.9 micron wide</t>
  </si>
  <si>
    <t>Abebe et al. 1992</t>
  </si>
  <si>
    <t>V5</t>
  </si>
  <si>
    <t>V12</t>
  </si>
  <si>
    <t>Staphylococcus aureus 8325 N</t>
  </si>
  <si>
    <t>80alpha</t>
  </si>
  <si>
    <t>Nordstrom &amp; Forsgren. 1974</t>
  </si>
  <si>
    <t>Staphylococcus aureus Cowan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</si>
</sst>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TRUE&quot;;&quot;TRUE&quot;;&quot;FALSE&quot;"/>
    <numFmt numFmtId="165" formatCode="0.0E+00"/>
  </numFmts>
  <fonts count="7" x14ac:knownFonts="1">
    <font>
      <sz val="12"/>
      <color indexed="8"/>
      <name val="Calibri"/>
      <family val="2"/>
      <charset val="1"/>
    </font>
    <font>
      <sz val="11"/>
      <color indexed="8"/>
      <name val="Cambria"/>
      <family val="1"/>
      <charset val="1"/>
    </font>
    <font>
      <b/>
      <sz val="11"/>
      <color indexed="8"/>
      <name val="Calibri"/>
      <family val="2"/>
      <charset val="1"/>
    </font>
    <font>
      <b/>
      <sz val="12"/>
      <color indexed="8"/>
      <name val="Calibri"/>
      <family val="2"/>
      <charset val="1"/>
    </font>
    <font>
      <b/>
      <sz val="11"/>
      <color indexed="8"/>
      <name val="Cambria"/>
      <family val="1"/>
      <charset val="1"/>
    </font>
    <font>
      <sz val="11"/>
      <color indexed="8"/>
      <name val="Calibri"/>
      <family val="2"/>
      <charset val="1"/>
    </font>
    <font>
      <sz val="11"/>
      <color indexed="17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2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2" borderId="0" applyNumberFormat="0" applyBorder="0" applyProtection="0"/>
  </cellStyleXfs>
  <cellXfs count="21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2" fillId="0" borderId="0" xfId="0" applyFont="1"/>
    <xf numFmtId="49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49" fontId="5" fillId="0" borderId="0" xfId="0" applyNumberFormat="1" applyFont="1"/>
    <xf numFmtId="11" fontId="5" fillId="0" borderId="0" xfId="0" applyNumberFormat="1" applyFont="1"/>
    <xf numFmtId="164" fontId="5" fillId="0" borderId="0" xfId="0" applyNumberFormat="1" applyFont="1"/>
    <xf numFmtId="0" fontId="5" fillId="0" borderId="0" xfId="0" applyFont="1" applyBorder="1"/>
    <xf numFmtId="0" fontId="5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1" fontId="5" fillId="0" borderId="0" xfId="0" applyNumberFormat="1" applyFont="1"/>
    <xf numFmtId="165" fontId="5" fillId="0" borderId="0" xfId="0" applyNumberFormat="1" applyFont="1"/>
    <xf numFmtId="0" fontId="5" fillId="0" borderId="0" xfId="1" applyNumberFormat="1" applyFont="1" applyFill="1" applyBorder="1" applyAlignment="1" applyProtection="1"/>
    <xf numFmtId="49" fontId="5" fillId="0" borderId="0" xfId="1" applyNumberFormat="1" applyFont="1" applyFill="1" applyBorder="1" applyAlignment="1" applyProtection="1"/>
    <xf numFmtId="164" fontId="5" fillId="0" borderId="0" xfId="1" applyNumberFormat="1" applyFont="1" applyFill="1" applyBorder="1" applyAlignment="1" applyProtection="1"/>
    <xf numFmtId="0" fontId="5" fillId="0" borderId="0" xfId="1" applyNumberFormat="1" applyFont="1" applyFill="1" applyBorder="1" applyAlignment="1" applyProtection="1">
      <alignment vertical="center"/>
    </xf>
    <xf numFmtId="0" fontId="0" fillId="0" borderId="0" xfId="0" applyFont="1" applyFill="1"/>
  </cellXfs>
  <cellStyles count="2">
    <cellStyle name="Excel Built-in Good" xfId="1" xr:uid="{4CBF099A-7BFD-3749-A9AF-E37A3764FD6C}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61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6EFCE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474E6-BCE5-2242-ABBD-AB7066C75F4D}">
  <dimension ref="A1:IV91"/>
  <sheetViews>
    <sheetView tabSelected="1" zoomScale="77" zoomScaleNormal="77" workbookViewId="0">
      <pane ySplit="1" topLeftCell="A2" activePane="bottomLeft" state="frozen"/>
      <selection pane="bottomLeft" activeCell="P90" sqref="P90"/>
    </sheetView>
  </sheetViews>
  <sheetFormatPr baseColWidth="10" defaultRowHeight="16" x14ac:dyDescent="0.2"/>
  <cols>
    <col min="1" max="1" width="30.1640625" style="1" customWidth="1"/>
    <col min="2" max="2" width="11.6640625" style="2" customWidth="1"/>
    <col min="3" max="3" width="22.5" style="1" customWidth="1"/>
    <col min="4" max="5" width="14.83203125" style="1" customWidth="1"/>
    <col min="6" max="6" width="14.33203125" style="1" customWidth="1"/>
    <col min="7" max="7" width="30.5" style="1" customWidth="1"/>
    <col min="8" max="8" width="25.1640625" customWidth="1"/>
    <col min="9" max="9" width="25.5" customWidth="1"/>
    <col min="10" max="10" width="25.1640625" customWidth="1"/>
    <col min="12" max="12" width="32" customWidth="1"/>
    <col min="13" max="13" width="32.33203125" customWidth="1"/>
    <col min="14" max="14" width="19.6640625" customWidth="1"/>
    <col min="15" max="15" width="20" customWidth="1"/>
    <col min="16" max="16" width="19.6640625" style="1" customWidth="1"/>
    <col min="17" max="17" width="16.5" style="1" customWidth="1"/>
    <col min="18" max="16384" width="10.83203125" style="1"/>
  </cols>
  <sheetData>
    <row r="1" spans="1:256" s="6" customFormat="1" x14ac:dyDescent="0.2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3" t="s">
        <v>15</v>
      </c>
      <c r="Q1" s="3" t="s">
        <v>16</v>
      </c>
      <c r="R1" s="3"/>
      <c r="S1" s="3"/>
      <c r="T1" s="3"/>
      <c r="U1" s="3"/>
      <c r="V1" s="3"/>
    </row>
    <row r="2" spans="1:256" x14ac:dyDescent="0.2">
      <c r="A2" s="7" t="s">
        <v>17</v>
      </c>
      <c r="B2" s="8" t="s">
        <v>18</v>
      </c>
      <c r="C2" s="7">
        <v>85</v>
      </c>
      <c r="D2" s="7" t="s">
        <v>19</v>
      </c>
      <c r="E2" s="7" t="s">
        <v>19</v>
      </c>
      <c r="F2" s="7">
        <v>42.5</v>
      </c>
      <c r="G2" s="7" t="s">
        <v>20</v>
      </c>
      <c r="H2">
        <v>0.5</v>
      </c>
      <c r="I2">
        <v>1</v>
      </c>
      <c r="J2">
        <v>1</v>
      </c>
      <c r="K2">
        <v>5</v>
      </c>
      <c r="L2">
        <f t="shared" ref="L2:L20" si="0">4/3*3.142*(H2/2)^2*(J2/2)</f>
        <v>0.13091666666666665</v>
      </c>
      <c r="M2">
        <f t="shared" ref="M2:M20" si="1">4/3*3.142*(I2/2)^2*(K2/2)</f>
        <v>2.6183333333333332</v>
      </c>
      <c r="N2">
        <f t="shared" ref="N2:N20" si="2">(3/(4*3.142)*L2)^0.3333333</f>
        <v>0.31498029886166723</v>
      </c>
      <c r="O2">
        <f t="shared" ref="O2:O20" si="3">(3/(4*3.142)*M2)^0.3333333</f>
        <v>0.85498798673326359</v>
      </c>
      <c r="P2" s="9">
        <v>1.9000000000000001E-9</v>
      </c>
      <c r="Q2" s="7" t="s">
        <v>21</v>
      </c>
      <c r="R2" s="7"/>
      <c r="S2" s="7"/>
      <c r="T2" s="7"/>
      <c r="U2" s="7"/>
      <c r="V2" s="10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</row>
    <row r="3" spans="1:256" x14ac:dyDescent="0.2">
      <c r="A3" s="7" t="s">
        <v>22</v>
      </c>
      <c r="B3" s="8" t="s">
        <v>23</v>
      </c>
      <c r="C3" s="7">
        <v>60</v>
      </c>
      <c r="D3" s="7" t="s">
        <v>19</v>
      </c>
      <c r="E3" s="7" t="s">
        <v>19</v>
      </c>
      <c r="F3" s="7">
        <v>30</v>
      </c>
      <c r="G3" s="7" t="s">
        <v>24</v>
      </c>
      <c r="H3">
        <v>0.2</v>
      </c>
      <c r="I3">
        <v>0.45</v>
      </c>
      <c r="J3">
        <v>0.2</v>
      </c>
      <c r="K3">
        <v>0.45</v>
      </c>
      <c r="L3">
        <f t="shared" si="0"/>
        <v>4.189333333333334E-3</v>
      </c>
      <c r="M3">
        <f t="shared" si="1"/>
        <v>4.7719125000000001E-2</v>
      </c>
      <c r="N3">
        <f t="shared" si="2"/>
        <v>0.10000002302585359</v>
      </c>
      <c r="O3">
        <f t="shared" si="3"/>
        <v>0.22500003356223719</v>
      </c>
      <c r="P3" s="9">
        <v>2.7000000000000005E-10</v>
      </c>
      <c r="Q3" s="7" t="s">
        <v>25</v>
      </c>
      <c r="R3" s="7"/>
      <c r="S3" s="7"/>
      <c r="T3" s="7"/>
      <c r="U3" s="7"/>
      <c r="V3" s="10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</row>
    <row r="4" spans="1:256" x14ac:dyDescent="0.2">
      <c r="A4" s="7" t="s">
        <v>26</v>
      </c>
      <c r="B4" s="8" t="s">
        <v>27</v>
      </c>
      <c r="C4" s="7">
        <v>60</v>
      </c>
      <c r="D4" s="7" t="s">
        <v>19</v>
      </c>
      <c r="E4" s="7" t="s">
        <v>19</v>
      </c>
      <c r="F4" s="7">
        <v>30</v>
      </c>
      <c r="G4" s="7" t="s">
        <v>28</v>
      </c>
      <c r="H4">
        <v>0.4</v>
      </c>
      <c r="I4">
        <v>1</v>
      </c>
      <c r="J4">
        <v>2</v>
      </c>
      <c r="K4">
        <v>2</v>
      </c>
      <c r="L4">
        <f t="shared" si="0"/>
        <v>0.16757333333333335</v>
      </c>
      <c r="M4">
        <f t="shared" si="1"/>
        <v>1.0473333333333332</v>
      </c>
      <c r="N4">
        <f t="shared" si="2"/>
        <v>0.34199522603000959</v>
      </c>
      <c r="O4">
        <f t="shared" si="3"/>
        <v>0.62996055405779472</v>
      </c>
      <c r="P4" s="9">
        <v>6.2999999999999994E-12</v>
      </c>
      <c r="Q4" s="7" t="s">
        <v>29</v>
      </c>
      <c r="R4" s="7"/>
      <c r="S4" s="7"/>
      <c r="T4" s="7"/>
      <c r="U4" s="7"/>
      <c r="V4" s="10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</row>
    <row r="5" spans="1:256" x14ac:dyDescent="0.2">
      <c r="A5" s="11" t="s">
        <v>30</v>
      </c>
      <c r="B5" s="8" t="s">
        <v>31</v>
      </c>
      <c r="C5" s="7" t="s">
        <v>32</v>
      </c>
      <c r="D5" s="7" t="s">
        <v>19</v>
      </c>
      <c r="E5" s="7" t="s">
        <v>19</v>
      </c>
      <c r="F5" s="7">
        <v>52.5</v>
      </c>
      <c r="G5" s="7" t="s">
        <v>33</v>
      </c>
      <c r="H5">
        <v>0.5</v>
      </c>
      <c r="I5">
        <v>1.25</v>
      </c>
      <c r="J5">
        <v>0.5</v>
      </c>
      <c r="K5">
        <v>1.25</v>
      </c>
      <c r="L5">
        <f t="shared" si="0"/>
        <v>6.5458333333333327E-2</v>
      </c>
      <c r="M5">
        <f t="shared" si="1"/>
        <v>1.0227864583333333</v>
      </c>
      <c r="N5">
        <f t="shared" si="2"/>
        <v>0.25000003465736143</v>
      </c>
      <c r="O5">
        <f t="shared" si="3"/>
        <v>0.62500002937522758</v>
      </c>
      <c r="P5" s="9">
        <v>2.3000000000000003E-10</v>
      </c>
      <c r="Q5" s="7" t="s">
        <v>34</v>
      </c>
      <c r="R5" s="7"/>
      <c r="S5" s="7"/>
      <c r="T5" s="7"/>
      <c r="U5" s="7"/>
      <c r="V5" s="10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</row>
    <row r="6" spans="1:256" x14ac:dyDescent="0.2">
      <c r="A6" s="12" t="s">
        <v>35</v>
      </c>
      <c r="B6" s="8" t="s">
        <v>36</v>
      </c>
      <c r="C6" s="7">
        <v>62</v>
      </c>
      <c r="D6" s="7" t="s">
        <v>19</v>
      </c>
      <c r="E6" s="7" t="s">
        <v>19</v>
      </c>
      <c r="F6" s="7">
        <v>31</v>
      </c>
      <c r="G6" s="7" t="s">
        <v>37</v>
      </c>
      <c r="H6">
        <v>1</v>
      </c>
      <c r="I6">
        <v>3</v>
      </c>
      <c r="J6">
        <v>1</v>
      </c>
      <c r="K6">
        <v>3</v>
      </c>
      <c r="L6">
        <f t="shared" si="0"/>
        <v>0.52366666666666661</v>
      </c>
      <c r="M6">
        <f t="shared" si="1"/>
        <v>14.138999999999998</v>
      </c>
      <c r="N6">
        <f t="shared" si="2"/>
        <v>0.5000000346573602</v>
      </c>
      <c r="O6">
        <f t="shared" si="3"/>
        <v>1.499999939180235</v>
      </c>
      <c r="P6" s="9">
        <v>3E-10</v>
      </c>
      <c r="Q6" s="7" t="s">
        <v>38</v>
      </c>
      <c r="R6" s="7"/>
      <c r="S6" s="7"/>
      <c r="T6" s="7"/>
      <c r="U6" s="7"/>
      <c r="V6" s="10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</row>
    <row r="7" spans="1:256" x14ac:dyDescent="0.2">
      <c r="A7" s="13" t="s">
        <v>39</v>
      </c>
      <c r="B7" s="8" t="s">
        <v>40</v>
      </c>
      <c r="C7" s="7">
        <v>64</v>
      </c>
      <c r="D7" s="14">
        <f>56147/1000</f>
        <v>56.146999999999998</v>
      </c>
      <c r="E7" s="7">
        <f t="shared" ref="E7:E10" si="4">(10^(1.01219))*D7^0.27173</f>
        <v>30.728014929136609</v>
      </c>
      <c r="F7" s="7">
        <v>32</v>
      </c>
      <c r="G7" s="7" t="s">
        <v>41</v>
      </c>
      <c r="H7">
        <v>0.4</v>
      </c>
      <c r="I7">
        <v>1</v>
      </c>
      <c r="J7">
        <v>1.2</v>
      </c>
      <c r="K7">
        <v>3</v>
      </c>
      <c r="L7">
        <f t="shared" si="0"/>
        <v>0.10054400000000001</v>
      </c>
      <c r="M7">
        <f t="shared" si="1"/>
        <v>1.5709999999999997</v>
      </c>
      <c r="N7">
        <f t="shared" si="2"/>
        <v>0.28844994992255268</v>
      </c>
      <c r="O7">
        <f t="shared" si="3"/>
        <v>0.72112480873038065</v>
      </c>
      <c r="P7" s="9">
        <v>5.4799999999999997E-10</v>
      </c>
      <c r="Q7" s="7" t="s">
        <v>42</v>
      </c>
      <c r="R7" s="7"/>
      <c r="S7" s="7"/>
      <c r="T7" s="7"/>
      <c r="U7" s="7"/>
      <c r="V7" s="10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</row>
    <row r="8" spans="1:256" x14ac:dyDescent="0.2">
      <c r="A8" s="13" t="s">
        <v>39</v>
      </c>
      <c r="B8" s="8" t="s">
        <v>43</v>
      </c>
      <c r="C8" s="7">
        <v>64</v>
      </c>
      <c r="D8" s="7">
        <f>55601/1000</f>
        <v>55.600999999999999</v>
      </c>
      <c r="E8" s="7">
        <f t="shared" si="4"/>
        <v>30.64652912569688</v>
      </c>
      <c r="F8" s="7">
        <v>32</v>
      </c>
      <c r="G8" s="7" t="s">
        <v>41</v>
      </c>
      <c r="H8">
        <v>0.4</v>
      </c>
      <c r="I8">
        <v>1</v>
      </c>
      <c r="J8">
        <v>1.2</v>
      </c>
      <c r="K8">
        <v>3</v>
      </c>
      <c r="L8">
        <f t="shared" si="0"/>
        <v>0.10054400000000001</v>
      </c>
      <c r="M8">
        <f t="shared" si="1"/>
        <v>1.5709999999999997</v>
      </c>
      <c r="N8">
        <f t="shared" si="2"/>
        <v>0.28844994992255268</v>
      </c>
      <c r="O8">
        <f t="shared" si="3"/>
        <v>0.72112480873038065</v>
      </c>
      <c r="P8" s="9">
        <v>4.5800000000000002E-10</v>
      </c>
      <c r="Q8" s="7" t="s">
        <v>42</v>
      </c>
      <c r="R8" s="7"/>
      <c r="S8" s="7"/>
      <c r="T8" s="7"/>
      <c r="U8" s="7"/>
      <c r="V8" s="10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</row>
    <row r="9" spans="1:256" x14ac:dyDescent="0.2">
      <c r="A9" s="13" t="s">
        <v>39</v>
      </c>
      <c r="B9" s="8" t="s">
        <v>44</v>
      </c>
      <c r="C9" s="7">
        <v>69</v>
      </c>
      <c r="D9" s="7">
        <f>43940/1000</f>
        <v>43.94</v>
      </c>
      <c r="E9" s="7">
        <f t="shared" si="4"/>
        <v>28.747783272966107</v>
      </c>
      <c r="F9" s="7">
        <v>34.5</v>
      </c>
      <c r="G9" s="7" t="s">
        <v>41</v>
      </c>
      <c r="H9">
        <v>0.4</v>
      </c>
      <c r="I9">
        <v>1</v>
      </c>
      <c r="J9">
        <v>1.2</v>
      </c>
      <c r="K9">
        <v>3</v>
      </c>
      <c r="L9">
        <f t="shared" si="0"/>
        <v>0.10054400000000001</v>
      </c>
      <c r="M9">
        <f t="shared" si="1"/>
        <v>1.5709999999999997</v>
      </c>
      <c r="N9">
        <f t="shared" si="2"/>
        <v>0.28844994992255268</v>
      </c>
      <c r="O9">
        <f t="shared" si="3"/>
        <v>0.72112480873038065</v>
      </c>
      <c r="P9" s="9">
        <v>7.2599999999999997E-10</v>
      </c>
      <c r="Q9" s="7" t="s">
        <v>42</v>
      </c>
      <c r="R9" s="7"/>
      <c r="S9" s="7"/>
      <c r="T9" s="7"/>
      <c r="U9" s="7"/>
      <c r="V9" s="10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</row>
    <row r="10" spans="1:256" x14ac:dyDescent="0.2">
      <c r="A10" s="13" t="s">
        <v>39</v>
      </c>
      <c r="B10" s="8" t="s">
        <v>45</v>
      </c>
      <c r="C10" s="7">
        <v>68</v>
      </c>
      <c r="D10" s="7">
        <f>43869/1000</f>
        <v>43.869</v>
      </c>
      <c r="E10" s="7">
        <f t="shared" si="4"/>
        <v>28.735153488426036</v>
      </c>
      <c r="F10" s="7">
        <v>34</v>
      </c>
      <c r="G10" s="7" t="s">
        <v>41</v>
      </c>
      <c r="H10">
        <v>0.4</v>
      </c>
      <c r="I10">
        <v>1</v>
      </c>
      <c r="J10">
        <v>1.2</v>
      </c>
      <c r="K10">
        <v>3</v>
      </c>
      <c r="L10">
        <f t="shared" si="0"/>
        <v>0.10054400000000001</v>
      </c>
      <c r="M10">
        <f t="shared" si="1"/>
        <v>1.5709999999999997</v>
      </c>
      <c r="N10">
        <f t="shared" si="2"/>
        <v>0.28844994992255268</v>
      </c>
      <c r="O10">
        <f t="shared" si="3"/>
        <v>0.72112480873038065</v>
      </c>
      <c r="P10" s="9">
        <v>5.9800000000000011E-10</v>
      </c>
      <c r="Q10" s="7" t="s">
        <v>42</v>
      </c>
      <c r="R10" s="7"/>
      <c r="S10" s="7"/>
      <c r="T10" s="7"/>
      <c r="U10" s="7"/>
      <c r="V10" s="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</row>
    <row r="11" spans="1:256" x14ac:dyDescent="0.2">
      <c r="A11" s="12" t="s">
        <v>46</v>
      </c>
      <c r="B11" s="8" t="s">
        <v>36</v>
      </c>
      <c r="C11" s="7">
        <v>62</v>
      </c>
      <c r="D11" s="7" t="s">
        <v>19</v>
      </c>
      <c r="E11" s="7" t="s">
        <v>19</v>
      </c>
      <c r="F11" s="7">
        <v>31</v>
      </c>
      <c r="G11" s="7" t="s">
        <v>47</v>
      </c>
      <c r="H11">
        <v>0.5</v>
      </c>
      <c r="I11">
        <v>0.5</v>
      </c>
      <c r="J11">
        <v>2</v>
      </c>
      <c r="K11">
        <v>2</v>
      </c>
      <c r="L11">
        <f t="shared" si="0"/>
        <v>0.26183333333333331</v>
      </c>
      <c r="M11">
        <f t="shared" si="1"/>
        <v>0.26183333333333331</v>
      </c>
      <c r="N11">
        <f t="shared" si="2"/>
        <v>0.3968502996688037</v>
      </c>
      <c r="O11">
        <f t="shared" si="3"/>
        <v>0.3968502996688037</v>
      </c>
      <c r="P11" s="9">
        <v>3E-10</v>
      </c>
      <c r="Q11" s="7" t="s">
        <v>38</v>
      </c>
      <c r="R11" s="7"/>
      <c r="S11" s="7"/>
      <c r="T11" s="7"/>
      <c r="U11" s="7"/>
      <c r="V11" s="10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</row>
    <row r="12" spans="1:256" x14ac:dyDescent="0.2">
      <c r="A12" s="12" t="s">
        <v>46</v>
      </c>
      <c r="B12" s="8" t="s">
        <v>48</v>
      </c>
      <c r="C12" s="7">
        <v>60</v>
      </c>
      <c r="D12" s="7">
        <v>45</v>
      </c>
      <c r="E12" s="7">
        <f t="shared" ref="E12:E18" si="5">(10^(1.01219))*D12^0.27173</f>
        <v>28.934596897665848</v>
      </c>
      <c r="F12" s="7">
        <v>30</v>
      </c>
      <c r="G12" s="7" t="s">
        <v>47</v>
      </c>
      <c r="H12">
        <v>0.5</v>
      </c>
      <c r="I12">
        <v>0.5</v>
      </c>
      <c r="J12">
        <v>2</v>
      </c>
      <c r="K12">
        <v>2</v>
      </c>
      <c r="L12">
        <f t="shared" si="0"/>
        <v>0.26183333333333331</v>
      </c>
      <c r="M12">
        <f t="shared" si="1"/>
        <v>0.26183333333333331</v>
      </c>
      <c r="N12">
        <f t="shared" si="2"/>
        <v>0.3968502996688037</v>
      </c>
      <c r="O12">
        <f t="shared" si="3"/>
        <v>0.3968502996688037</v>
      </c>
      <c r="P12" s="9">
        <v>3.900000000000001E-9</v>
      </c>
      <c r="Q12" s="7" t="s">
        <v>49</v>
      </c>
      <c r="R12" s="7"/>
      <c r="S12" s="7"/>
      <c r="T12" s="7"/>
      <c r="U12" s="7"/>
      <c r="V12" s="10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</row>
    <row r="13" spans="1:256" x14ac:dyDescent="0.2">
      <c r="A13" s="13" t="s">
        <v>46</v>
      </c>
      <c r="B13" s="8" t="s">
        <v>50</v>
      </c>
      <c r="C13" s="7">
        <v>60</v>
      </c>
      <c r="D13" s="7">
        <v>45</v>
      </c>
      <c r="E13" s="7">
        <f t="shared" si="5"/>
        <v>28.934596897665848</v>
      </c>
      <c r="F13" s="7">
        <v>30</v>
      </c>
      <c r="G13" s="7" t="s">
        <v>47</v>
      </c>
      <c r="H13">
        <v>0.5</v>
      </c>
      <c r="I13">
        <v>0.5</v>
      </c>
      <c r="J13">
        <v>2</v>
      </c>
      <c r="K13">
        <v>2</v>
      </c>
      <c r="L13">
        <f t="shared" si="0"/>
        <v>0.26183333333333331</v>
      </c>
      <c r="M13">
        <f t="shared" si="1"/>
        <v>0.26183333333333331</v>
      </c>
      <c r="N13">
        <f t="shared" si="2"/>
        <v>0.3968502996688037</v>
      </c>
      <c r="O13">
        <f t="shared" si="3"/>
        <v>0.3968502996688037</v>
      </c>
      <c r="P13" s="9">
        <v>3.7000000000000005E-9</v>
      </c>
      <c r="Q13" s="7" t="s">
        <v>49</v>
      </c>
      <c r="R13" s="7"/>
      <c r="S13" s="7"/>
      <c r="T13" s="7"/>
      <c r="U13" s="7"/>
      <c r="V13" s="10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</row>
    <row r="14" spans="1:256" x14ac:dyDescent="0.2">
      <c r="A14" s="13" t="s">
        <v>46</v>
      </c>
      <c r="B14" s="8" t="s">
        <v>51</v>
      </c>
      <c r="C14" s="7">
        <v>60</v>
      </c>
      <c r="D14" s="7">
        <v>45</v>
      </c>
      <c r="E14" s="7">
        <f t="shared" si="5"/>
        <v>28.934596897665848</v>
      </c>
      <c r="F14" s="7">
        <v>30</v>
      </c>
      <c r="G14" s="7" t="s">
        <v>47</v>
      </c>
      <c r="H14">
        <v>0.5</v>
      </c>
      <c r="I14">
        <v>0.5</v>
      </c>
      <c r="J14">
        <v>2</v>
      </c>
      <c r="K14">
        <v>2</v>
      </c>
      <c r="L14">
        <f t="shared" si="0"/>
        <v>0.26183333333333331</v>
      </c>
      <c r="M14">
        <f t="shared" si="1"/>
        <v>0.26183333333333331</v>
      </c>
      <c r="N14">
        <f t="shared" si="2"/>
        <v>0.3968502996688037</v>
      </c>
      <c r="O14">
        <f t="shared" si="3"/>
        <v>0.3968502996688037</v>
      </c>
      <c r="P14" s="9">
        <v>1.7999999999999999E-8</v>
      </c>
      <c r="Q14" s="7" t="s">
        <v>49</v>
      </c>
      <c r="R14" s="7"/>
      <c r="S14" s="7"/>
      <c r="T14" s="7"/>
      <c r="U14" s="7"/>
      <c r="V14" s="10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</row>
    <row r="15" spans="1:256" x14ac:dyDescent="0.2">
      <c r="A15" s="13" t="s">
        <v>46</v>
      </c>
      <c r="B15" s="8" t="s">
        <v>52</v>
      </c>
      <c r="C15" s="7">
        <v>60</v>
      </c>
      <c r="D15" s="7">
        <v>45</v>
      </c>
      <c r="E15" s="7">
        <f t="shared" si="5"/>
        <v>28.934596897665848</v>
      </c>
      <c r="F15" s="7">
        <v>30</v>
      </c>
      <c r="G15" s="7" t="s">
        <v>47</v>
      </c>
      <c r="H15">
        <v>0.5</v>
      </c>
      <c r="I15">
        <v>0.5</v>
      </c>
      <c r="J15">
        <v>2</v>
      </c>
      <c r="K15">
        <v>2</v>
      </c>
      <c r="L15">
        <f t="shared" si="0"/>
        <v>0.26183333333333331</v>
      </c>
      <c r="M15">
        <f t="shared" si="1"/>
        <v>0.26183333333333331</v>
      </c>
      <c r="N15">
        <f t="shared" si="2"/>
        <v>0.3968502996688037</v>
      </c>
      <c r="O15">
        <f t="shared" si="3"/>
        <v>0.3968502996688037</v>
      </c>
      <c r="P15" s="9">
        <v>1.4E-8</v>
      </c>
      <c r="Q15" s="7" t="s">
        <v>49</v>
      </c>
      <c r="R15" s="7"/>
      <c r="S15" s="7"/>
      <c r="T15" s="7"/>
      <c r="U15" s="7"/>
      <c r="V15" s="10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</row>
    <row r="16" spans="1:256" x14ac:dyDescent="0.2">
      <c r="A16" s="13" t="s">
        <v>46</v>
      </c>
      <c r="B16" s="8" t="s">
        <v>53</v>
      </c>
      <c r="C16" s="7">
        <v>60</v>
      </c>
      <c r="D16" s="7">
        <v>45</v>
      </c>
      <c r="E16" s="7">
        <f t="shared" si="5"/>
        <v>28.934596897665848</v>
      </c>
      <c r="F16" s="7">
        <v>30</v>
      </c>
      <c r="G16" s="7" t="s">
        <v>47</v>
      </c>
      <c r="H16">
        <v>0.5</v>
      </c>
      <c r="I16">
        <v>0.5</v>
      </c>
      <c r="J16">
        <v>2</v>
      </c>
      <c r="K16">
        <v>2</v>
      </c>
      <c r="L16">
        <f t="shared" si="0"/>
        <v>0.26183333333333331</v>
      </c>
      <c r="M16">
        <f t="shared" si="1"/>
        <v>0.26183333333333331</v>
      </c>
      <c r="N16">
        <f t="shared" si="2"/>
        <v>0.3968502996688037</v>
      </c>
      <c r="O16">
        <f t="shared" si="3"/>
        <v>0.3968502996688037</v>
      </c>
      <c r="P16" s="9">
        <v>3.4E-8</v>
      </c>
      <c r="Q16" s="7" t="s">
        <v>49</v>
      </c>
      <c r="R16" s="7"/>
      <c r="S16" s="7"/>
      <c r="T16" s="7"/>
      <c r="U16" s="7"/>
      <c r="V16" s="10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</row>
    <row r="17" spans="1:256" x14ac:dyDescent="0.2">
      <c r="A17" s="13" t="s">
        <v>46</v>
      </c>
      <c r="B17" s="8" t="s">
        <v>54</v>
      </c>
      <c r="C17" s="7">
        <v>60</v>
      </c>
      <c r="D17" s="7">
        <v>45</v>
      </c>
      <c r="E17" s="7">
        <f t="shared" si="5"/>
        <v>28.934596897665848</v>
      </c>
      <c r="F17" s="7">
        <v>30</v>
      </c>
      <c r="G17" s="7" t="s">
        <v>47</v>
      </c>
      <c r="H17">
        <v>0.5</v>
      </c>
      <c r="I17">
        <v>0.5</v>
      </c>
      <c r="J17">
        <v>2</v>
      </c>
      <c r="K17">
        <v>2</v>
      </c>
      <c r="L17">
        <f t="shared" si="0"/>
        <v>0.26183333333333331</v>
      </c>
      <c r="M17">
        <f t="shared" si="1"/>
        <v>0.26183333333333331</v>
      </c>
      <c r="N17">
        <f t="shared" si="2"/>
        <v>0.3968502996688037</v>
      </c>
      <c r="O17">
        <f t="shared" si="3"/>
        <v>0.3968502996688037</v>
      </c>
      <c r="P17" s="9">
        <v>4.07E-8</v>
      </c>
      <c r="Q17" s="7" t="s">
        <v>49</v>
      </c>
      <c r="R17" s="7"/>
      <c r="S17" s="7"/>
      <c r="T17" s="7"/>
      <c r="U17" s="7"/>
      <c r="V17" s="10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</row>
    <row r="18" spans="1:256" x14ac:dyDescent="0.2">
      <c r="A18" s="11" t="s">
        <v>55</v>
      </c>
      <c r="B18" s="8" t="s">
        <v>56</v>
      </c>
      <c r="C18" s="7">
        <v>58.5</v>
      </c>
      <c r="D18" s="7">
        <v>41.3</v>
      </c>
      <c r="E18" s="7">
        <f t="shared" si="5"/>
        <v>28.267806352568531</v>
      </c>
      <c r="F18" s="7">
        <v>29.25</v>
      </c>
      <c r="G18" s="7" t="s">
        <v>20</v>
      </c>
      <c r="H18">
        <v>0.5</v>
      </c>
      <c r="I18">
        <v>1</v>
      </c>
      <c r="J18">
        <v>1</v>
      </c>
      <c r="K18">
        <v>5</v>
      </c>
      <c r="L18">
        <f t="shared" si="0"/>
        <v>0.13091666666666665</v>
      </c>
      <c r="M18">
        <f t="shared" si="1"/>
        <v>2.6183333333333332</v>
      </c>
      <c r="N18">
        <f t="shared" si="2"/>
        <v>0.31498029886166723</v>
      </c>
      <c r="O18">
        <f t="shared" si="3"/>
        <v>0.85498798673326359</v>
      </c>
      <c r="P18" s="9">
        <v>1.19E-9</v>
      </c>
      <c r="Q18" s="7" t="s">
        <v>57</v>
      </c>
      <c r="R18" s="7"/>
      <c r="S18" s="7"/>
      <c r="T18" s="7"/>
      <c r="U18" s="7"/>
      <c r="V18" s="10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</row>
    <row r="19" spans="1:256" x14ac:dyDescent="0.2">
      <c r="A19" s="7" t="s">
        <v>58</v>
      </c>
      <c r="B19" s="8" t="s">
        <v>59</v>
      </c>
      <c r="C19" s="7">
        <v>60</v>
      </c>
      <c r="D19" s="7" t="s">
        <v>19</v>
      </c>
      <c r="E19" s="7" t="s">
        <v>19</v>
      </c>
      <c r="F19" s="7">
        <v>30</v>
      </c>
      <c r="G19" s="7" t="s">
        <v>20</v>
      </c>
      <c r="H19">
        <v>0.5</v>
      </c>
      <c r="I19">
        <v>1</v>
      </c>
      <c r="J19">
        <v>1</v>
      </c>
      <c r="K19">
        <v>5</v>
      </c>
      <c r="L19">
        <f t="shared" si="0"/>
        <v>0.13091666666666665</v>
      </c>
      <c r="M19">
        <f t="shared" si="1"/>
        <v>2.6183333333333332</v>
      </c>
      <c r="N19">
        <f t="shared" si="2"/>
        <v>0.31498029886166723</v>
      </c>
      <c r="O19">
        <f t="shared" si="3"/>
        <v>0.85498798673326359</v>
      </c>
      <c r="P19" s="9">
        <v>3.900000000000001E-9</v>
      </c>
      <c r="Q19" s="7" t="s">
        <v>60</v>
      </c>
      <c r="R19" s="7"/>
      <c r="S19" s="7"/>
      <c r="T19" s="7"/>
      <c r="U19" s="7"/>
      <c r="V19" s="10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</row>
    <row r="20" spans="1:256" x14ac:dyDescent="0.2">
      <c r="A20" s="13" t="s">
        <v>61</v>
      </c>
      <c r="B20" s="8" t="s">
        <v>62</v>
      </c>
      <c r="C20" s="7">
        <v>65</v>
      </c>
      <c r="D20" s="7" t="s">
        <v>19</v>
      </c>
      <c r="E20" s="7" t="s">
        <v>19</v>
      </c>
      <c r="F20" s="7">
        <v>32.5</v>
      </c>
      <c r="G20" s="7" t="s">
        <v>20</v>
      </c>
      <c r="H20">
        <v>0.5</v>
      </c>
      <c r="I20">
        <v>1</v>
      </c>
      <c r="J20">
        <v>1</v>
      </c>
      <c r="K20">
        <v>5</v>
      </c>
      <c r="L20">
        <f t="shared" si="0"/>
        <v>0.13091666666666665</v>
      </c>
      <c r="M20">
        <f t="shared" si="1"/>
        <v>2.6183333333333332</v>
      </c>
      <c r="N20">
        <f t="shared" si="2"/>
        <v>0.31498029886166723</v>
      </c>
      <c r="O20">
        <f t="shared" si="3"/>
        <v>0.85498798673326359</v>
      </c>
      <c r="P20" s="9">
        <v>2.1000000000000002E-9</v>
      </c>
      <c r="Q20" s="7" t="s">
        <v>60</v>
      </c>
      <c r="R20" s="7"/>
      <c r="S20" s="7"/>
      <c r="T20" s="7"/>
      <c r="U20" s="7"/>
      <c r="V20" s="1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</row>
    <row r="21" spans="1:256" x14ac:dyDescent="0.2">
      <c r="A21" s="11" t="s">
        <v>63</v>
      </c>
      <c r="B21" s="8" t="s">
        <v>64</v>
      </c>
      <c r="C21" s="7">
        <v>74</v>
      </c>
      <c r="D21" s="7" t="s">
        <v>19</v>
      </c>
      <c r="E21" s="7" t="s">
        <v>19</v>
      </c>
      <c r="F21" s="7">
        <v>37</v>
      </c>
      <c r="G21" s="7" t="s">
        <v>19</v>
      </c>
      <c r="H21" t="s">
        <v>19</v>
      </c>
      <c r="I21" t="s">
        <v>19</v>
      </c>
      <c r="J21" t="s">
        <v>19</v>
      </c>
      <c r="K21" t="s">
        <v>19</v>
      </c>
      <c r="L21" t="s">
        <v>19</v>
      </c>
      <c r="M21" t="s">
        <v>19</v>
      </c>
      <c r="N21" t="s">
        <v>19</v>
      </c>
      <c r="O21" t="s">
        <v>19</v>
      </c>
      <c r="P21" s="9">
        <v>8.1999999999999996E-10</v>
      </c>
      <c r="Q21" s="7" t="s">
        <v>65</v>
      </c>
      <c r="R21" s="7"/>
      <c r="S21" s="7"/>
      <c r="T21" s="7"/>
      <c r="U21" s="7"/>
      <c r="V21" s="10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</row>
    <row r="22" spans="1:256" x14ac:dyDescent="0.2">
      <c r="A22" s="12" t="s">
        <v>66</v>
      </c>
      <c r="B22" s="8" t="s">
        <v>67</v>
      </c>
      <c r="C22" s="7" t="s">
        <v>19</v>
      </c>
      <c r="D22" s="7" t="s">
        <v>19</v>
      </c>
      <c r="E22" s="7" t="s">
        <v>19</v>
      </c>
      <c r="F22" s="7" t="s">
        <v>19</v>
      </c>
      <c r="G22" s="7" t="s">
        <v>68</v>
      </c>
      <c r="H22">
        <v>0.25</v>
      </c>
      <c r="I22">
        <v>1</v>
      </c>
      <c r="J22">
        <v>4</v>
      </c>
      <c r="K22">
        <v>10</v>
      </c>
      <c r="L22">
        <f t="shared" ref="L22:L40" si="6">4/3*3.142*(H22/2)^2*(J22/2)</f>
        <v>0.13091666666666665</v>
      </c>
      <c r="M22">
        <f t="shared" ref="M22:M40" si="7">4/3*3.142*(I22/2)^2*(K22/2)</f>
        <v>5.2366666666666664</v>
      </c>
      <c r="N22">
        <f t="shared" ref="N22:N40" si="8">(3/(4*3.142)*L22)^0.3333333</f>
        <v>0.31498029886166723</v>
      </c>
      <c r="O22">
        <f t="shared" ref="O22:O40" si="9">(3/(4*3.142)*M22)^0.3333333</f>
        <v>1.0772173370034717</v>
      </c>
      <c r="P22" s="9">
        <v>1.9000000000000001E-9</v>
      </c>
      <c r="Q22" s="7" t="s">
        <v>69</v>
      </c>
      <c r="R22" s="7"/>
      <c r="S22" s="7"/>
      <c r="T22" s="7"/>
      <c r="U22" s="7"/>
      <c r="V22" s="10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</row>
    <row r="23" spans="1:256" x14ac:dyDescent="0.2">
      <c r="A23" s="13" t="s">
        <v>66</v>
      </c>
      <c r="B23" s="8" t="s">
        <v>70</v>
      </c>
      <c r="C23" s="7" t="s">
        <v>19</v>
      </c>
      <c r="D23" s="7" t="s">
        <v>19</v>
      </c>
      <c r="E23" s="7" t="s">
        <v>19</v>
      </c>
      <c r="F23" s="7" t="s">
        <v>19</v>
      </c>
      <c r="G23" s="7" t="s">
        <v>68</v>
      </c>
      <c r="H23">
        <v>0.25</v>
      </c>
      <c r="I23">
        <v>1</v>
      </c>
      <c r="J23">
        <v>4</v>
      </c>
      <c r="K23">
        <v>10</v>
      </c>
      <c r="L23">
        <f t="shared" si="6"/>
        <v>0.13091666666666665</v>
      </c>
      <c r="M23">
        <f t="shared" si="7"/>
        <v>5.2366666666666664</v>
      </c>
      <c r="N23">
        <f t="shared" si="8"/>
        <v>0.31498029886166723</v>
      </c>
      <c r="O23">
        <f t="shared" si="9"/>
        <v>1.0772173370034717</v>
      </c>
      <c r="P23" s="9">
        <v>6.6999999999999996E-10</v>
      </c>
      <c r="Q23" s="7" t="s">
        <v>69</v>
      </c>
      <c r="R23" s="7"/>
      <c r="S23" s="7"/>
      <c r="T23" s="7"/>
      <c r="U23" s="7"/>
      <c r="V23" s="10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</row>
    <row r="24" spans="1:256" x14ac:dyDescent="0.2">
      <c r="A24" s="13" t="s">
        <v>66</v>
      </c>
      <c r="B24" s="8" t="s">
        <v>71</v>
      </c>
      <c r="C24" s="7" t="s">
        <v>19</v>
      </c>
      <c r="D24" s="7" t="s">
        <v>19</v>
      </c>
      <c r="E24" s="7" t="s">
        <v>19</v>
      </c>
      <c r="F24" s="7" t="s">
        <v>19</v>
      </c>
      <c r="G24" s="7" t="s">
        <v>68</v>
      </c>
      <c r="H24">
        <v>0.25</v>
      </c>
      <c r="I24">
        <v>1</v>
      </c>
      <c r="J24">
        <v>4</v>
      </c>
      <c r="K24">
        <v>10</v>
      </c>
      <c r="L24">
        <f t="shared" si="6"/>
        <v>0.13091666666666665</v>
      </c>
      <c r="M24">
        <f t="shared" si="7"/>
        <v>5.2366666666666664</v>
      </c>
      <c r="N24">
        <f t="shared" si="8"/>
        <v>0.31498029886166723</v>
      </c>
      <c r="O24">
        <f t="shared" si="9"/>
        <v>1.0772173370034717</v>
      </c>
      <c r="P24" s="9">
        <v>5.4000000000000004E-9</v>
      </c>
      <c r="Q24" s="7" t="s">
        <v>69</v>
      </c>
      <c r="R24" s="7"/>
      <c r="S24" s="7"/>
      <c r="T24" s="7"/>
      <c r="U24" s="7"/>
      <c r="V24" s="10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</row>
    <row r="25" spans="1:256" x14ac:dyDescent="0.2">
      <c r="A25" s="13" t="s">
        <v>66</v>
      </c>
      <c r="B25" s="8" t="s">
        <v>72</v>
      </c>
      <c r="C25" s="7">
        <v>86</v>
      </c>
      <c r="D25" s="7" t="s">
        <v>19</v>
      </c>
      <c r="E25" s="7" t="s">
        <v>19</v>
      </c>
      <c r="F25" s="7">
        <v>43</v>
      </c>
      <c r="G25" s="7" t="s">
        <v>68</v>
      </c>
      <c r="H25">
        <v>0.25</v>
      </c>
      <c r="I25">
        <v>1</v>
      </c>
      <c r="J25">
        <v>4</v>
      </c>
      <c r="K25">
        <v>10</v>
      </c>
      <c r="L25">
        <f t="shared" si="6"/>
        <v>0.13091666666666665</v>
      </c>
      <c r="M25">
        <f t="shared" si="7"/>
        <v>5.2366666666666664</v>
      </c>
      <c r="N25">
        <f t="shared" si="8"/>
        <v>0.31498029886166723</v>
      </c>
      <c r="O25">
        <f t="shared" si="9"/>
        <v>1.0772173370034717</v>
      </c>
      <c r="P25" s="9">
        <v>4.3000000000000005E-9</v>
      </c>
      <c r="Q25" s="7" t="s">
        <v>69</v>
      </c>
      <c r="R25" s="7"/>
      <c r="S25" s="7"/>
      <c r="T25" s="7"/>
      <c r="U25" s="7"/>
      <c r="V25" s="10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</row>
    <row r="26" spans="1:256" x14ac:dyDescent="0.2">
      <c r="A26" s="13" t="s">
        <v>66</v>
      </c>
      <c r="B26" s="8" t="s">
        <v>73</v>
      </c>
      <c r="C26" s="7" t="s">
        <v>19</v>
      </c>
      <c r="D26" s="7" t="s">
        <v>19</v>
      </c>
      <c r="E26" s="7" t="s">
        <v>19</v>
      </c>
      <c r="F26" s="7" t="s">
        <v>19</v>
      </c>
      <c r="G26" s="7" t="s">
        <v>68</v>
      </c>
      <c r="H26">
        <v>0.25</v>
      </c>
      <c r="I26">
        <v>1</v>
      </c>
      <c r="J26">
        <v>4</v>
      </c>
      <c r="K26">
        <v>10</v>
      </c>
      <c r="L26">
        <f t="shared" si="6"/>
        <v>0.13091666666666665</v>
      </c>
      <c r="M26">
        <f t="shared" si="7"/>
        <v>5.2366666666666664</v>
      </c>
      <c r="N26">
        <f t="shared" si="8"/>
        <v>0.31498029886166723</v>
      </c>
      <c r="O26">
        <f t="shared" si="9"/>
        <v>1.0772173370034717</v>
      </c>
      <c r="P26" s="9">
        <v>7.5999999999999996E-10</v>
      </c>
      <c r="Q26" s="7" t="s">
        <v>69</v>
      </c>
      <c r="R26" s="7"/>
      <c r="S26" s="7"/>
      <c r="T26" s="7"/>
      <c r="U26" s="7"/>
      <c r="V26" s="10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</row>
    <row r="27" spans="1:256" x14ac:dyDescent="0.2">
      <c r="A27" s="13" t="s">
        <v>74</v>
      </c>
      <c r="B27" s="8" t="s">
        <v>75</v>
      </c>
      <c r="C27" s="7" t="s">
        <v>19</v>
      </c>
      <c r="D27" s="7" t="s">
        <v>19</v>
      </c>
      <c r="E27" s="7" t="s">
        <v>19</v>
      </c>
      <c r="F27" s="7" t="s">
        <v>19</v>
      </c>
      <c r="G27" s="7" t="s">
        <v>68</v>
      </c>
      <c r="H27">
        <v>0.25</v>
      </c>
      <c r="I27">
        <v>1</v>
      </c>
      <c r="J27">
        <v>4</v>
      </c>
      <c r="K27">
        <v>10</v>
      </c>
      <c r="L27">
        <f t="shared" si="6"/>
        <v>0.13091666666666665</v>
      </c>
      <c r="M27">
        <f t="shared" si="7"/>
        <v>5.2366666666666664</v>
      </c>
      <c r="N27">
        <f t="shared" si="8"/>
        <v>0.31498029886166723</v>
      </c>
      <c r="O27">
        <f t="shared" si="9"/>
        <v>1.0772173370034717</v>
      </c>
      <c r="P27" s="9">
        <v>1.4E-8</v>
      </c>
      <c r="Q27" s="7" t="s">
        <v>69</v>
      </c>
      <c r="R27" s="7"/>
      <c r="S27" s="7"/>
      <c r="T27" s="7"/>
      <c r="U27" s="7"/>
      <c r="V27" s="10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</row>
    <row r="28" spans="1:256" x14ac:dyDescent="0.2">
      <c r="A28" s="13" t="s">
        <v>76</v>
      </c>
      <c r="B28" s="8" t="s">
        <v>77</v>
      </c>
      <c r="C28" s="7" t="s">
        <v>19</v>
      </c>
      <c r="D28" s="7" t="s">
        <v>19</v>
      </c>
      <c r="E28" s="7" t="s">
        <v>19</v>
      </c>
      <c r="F28" s="7" t="s">
        <v>19</v>
      </c>
      <c r="G28" s="7" t="s">
        <v>68</v>
      </c>
      <c r="H28">
        <v>0.25</v>
      </c>
      <c r="I28">
        <v>1</v>
      </c>
      <c r="J28">
        <v>4</v>
      </c>
      <c r="K28">
        <v>10</v>
      </c>
      <c r="L28">
        <f t="shared" si="6"/>
        <v>0.13091666666666665</v>
      </c>
      <c r="M28">
        <f t="shared" si="7"/>
        <v>5.2366666666666664</v>
      </c>
      <c r="N28">
        <f t="shared" si="8"/>
        <v>0.31498029886166723</v>
      </c>
      <c r="O28">
        <f t="shared" si="9"/>
        <v>1.0772173370034717</v>
      </c>
      <c r="P28" s="9">
        <v>2.0000000000000001E-9</v>
      </c>
      <c r="Q28" s="7" t="s">
        <v>69</v>
      </c>
      <c r="R28" s="7"/>
      <c r="S28" s="7"/>
      <c r="T28" s="7"/>
      <c r="U28" s="7"/>
      <c r="V28" s="10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</row>
    <row r="29" spans="1:256" x14ac:dyDescent="0.2">
      <c r="A29" s="13" t="s">
        <v>66</v>
      </c>
      <c r="B29" s="8" t="s">
        <v>78</v>
      </c>
      <c r="C29" s="7">
        <f>15/6*50</f>
        <v>125</v>
      </c>
      <c r="D29" s="7" t="s">
        <v>19</v>
      </c>
      <c r="E29" s="7" t="s">
        <v>19</v>
      </c>
      <c r="F29" s="7">
        <v>62.5</v>
      </c>
      <c r="G29" s="7" t="s">
        <v>68</v>
      </c>
      <c r="H29">
        <v>0.25</v>
      </c>
      <c r="I29">
        <v>1</v>
      </c>
      <c r="J29">
        <v>4</v>
      </c>
      <c r="K29">
        <v>10</v>
      </c>
      <c r="L29">
        <f t="shared" si="6"/>
        <v>0.13091666666666665</v>
      </c>
      <c r="M29">
        <f t="shared" si="7"/>
        <v>5.2366666666666664</v>
      </c>
      <c r="N29">
        <f t="shared" si="8"/>
        <v>0.31498029886166723</v>
      </c>
      <c r="O29">
        <f t="shared" si="9"/>
        <v>1.0772173370034717</v>
      </c>
      <c r="P29" s="9">
        <v>1.44E-8</v>
      </c>
      <c r="Q29" s="7" t="s">
        <v>79</v>
      </c>
      <c r="R29" s="7"/>
      <c r="S29" s="7"/>
      <c r="T29" s="7"/>
      <c r="U29" s="7"/>
      <c r="V29" s="10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</row>
    <row r="30" spans="1:256" x14ac:dyDescent="0.2">
      <c r="A30" s="7" t="s">
        <v>80</v>
      </c>
      <c r="B30" s="8" t="s">
        <v>81</v>
      </c>
      <c r="C30" s="7">
        <v>118</v>
      </c>
      <c r="D30" s="7" t="s">
        <v>19</v>
      </c>
      <c r="E30" s="7" t="s">
        <v>19</v>
      </c>
      <c r="F30" s="7">
        <v>59</v>
      </c>
      <c r="G30" s="7" t="s">
        <v>82</v>
      </c>
      <c r="H30">
        <v>0.25</v>
      </c>
      <c r="I30">
        <v>1</v>
      </c>
      <c r="J30">
        <v>2</v>
      </c>
      <c r="K30">
        <v>2</v>
      </c>
      <c r="L30">
        <f t="shared" si="6"/>
        <v>6.5458333333333327E-2</v>
      </c>
      <c r="M30">
        <f t="shared" si="7"/>
        <v>1.0473333333333332</v>
      </c>
      <c r="N30">
        <f t="shared" si="8"/>
        <v>0.25000003465736143</v>
      </c>
      <c r="O30">
        <f t="shared" si="9"/>
        <v>0.62996055405779472</v>
      </c>
      <c r="P30" s="7">
        <v>6.4000000000000011E-9</v>
      </c>
      <c r="Q30" s="7" t="s">
        <v>83</v>
      </c>
      <c r="R30" s="7"/>
      <c r="S30" s="7"/>
      <c r="T30" s="7"/>
      <c r="U30" s="7"/>
      <c r="V30" s="1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</row>
    <row r="31" spans="1:256" x14ac:dyDescent="0.2">
      <c r="A31" s="7" t="s">
        <v>84</v>
      </c>
      <c r="B31" s="8" t="s">
        <v>85</v>
      </c>
      <c r="C31" s="7">
        <f>15/10*50</f>
        <v>75</v>
      </c>
      <c r="D31" s="7">
        <f>121750/1000</f>
        <v>121.75</v>
      </c>
      <c r="E31" s="7">
        <f t="shared" ref="E31:E32" si="10">(10^(1.01219))*D31^0.27173</f>
        <v>37.920537379842912</v>
      </c>
      <c r="F31" s="7">
        <v>37.5</v>
      </c>
      <c r="G31" s="7" t="s">
        <v>82</v>
      </c>
      <c r="H31">
        <v>0.25</v>
      </c>
      <c r="I31">
        <v>1</v>
      </c>
      <c r="J31">
        <v>2</v>
      </c>
      <c r="K31">
        <v>2</v>
      </c>
      <c r="L31">
        <f t="shared" si="6"/>
        <v>6.5458333333333327E-2</v>
      </c>
      <c r="M31">
        <f t="shared" si="7"/>
        <v>1.0473333333333332</v>
      </c>
      <c r="N31">
        <f t="shared" si="8"/>
        <v>0.25000003465736143</v>
      </c>
      <c r="O31">
        <f t="shared" si="9"/>
        <v>0.62996055405779472</v>
      </c>
      <c r="P31" s="7">
        <v>2.3000000000000001E-11</v>
      </c>
      <c r="Q31" s="7" t="s">
        <v>83</v>
      </c>
      <c r="R31" s="7"/>
      <c r="S31" s="7"/>
      <c r="T31" s="7"/>
      <c r="U31" s="7"/>
      <c r="V31" s="10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</row>
    <row r="32" spans="1:256" x14ac:dyDescent="0.2">
      <c r="A32" s="7" t="s">
        <v>84</v>
      </c>
      <c r="B32" s="8" t="s">
        <v>86</v>
      </c>
      <c r="C32" s="7">
        <v>50</v>
      </c>
      <c r="D32" s="7">
        <f>38208/1000</f>
        <v>38.207999999999998</v>
      </c>
      <c r="E32" s="7">
        <f t="shared" si="10"/>
        <v>27.676348419418815</v>
      </c>
      <c r="F32" s="7">
        <v>25</v>
      </c>
      <c r="G32" s="7" t="s">
        <v>82</v>
      </c>
      <c r="H32">
        <v>0.25</v>
      </c>
      <c r="I32">
        <v>1</v>
      </c>
      <c r="J32">
        <v>2</v>
      </c>
      <c r="K32">
        <v>2</v>
      </c>
      <c r="L32">
        <f t="shared" si="6"/>
        <v>6.5458333333333327E-2</v>
      </c>
      <c r="M32">
        <f t="shared" si="7"/>
        <v>1.0473333333333332</v>
      </c>
      <c r="N32">
        <f t="shared" si="8"/>
        <v>0.25000003465736143</v>
      </c>
      <c r="O32">
        <f t="shared" si="9"/>
        <v>0.62996055405779472</v>
      </c>
      <c r="P32" s="15">
        <v>3.0000000000000004E-9</v>
      </c>
      <c r="Q32" s="7" t="s">
        <v>83</v>
      </c>
      <c r="R32" s="7"/>
      <c r="S32" s="7"/>
      <c r="T32" s="7"/>
      <c r="U32" s="7"/>
      <c r="V32" s="10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</row>
    <row r="33" spans="1:256" x14ac:dyDescent="0.2">
      <c r="A33" s="13" t="s">
        <v>84</v>
      </c>
      <c r="B33" s="8" t="s">
        <v>36</v>
      </c>
      <c r="C33" s="7">
        <v>62</v>
      </c>
      <c r="D33" s="7" t="s">
        <v>19</v>
      </c>
      <c r="E33" s="7" t="s">
        <v>19</v>
      </c>
      <c r="F33" s="7">
        <v>31</v>
      </c>
      <c r="G33" s="7" t="s">
        <v>82</v>
      </c>
      <c r="H33">
        <v>0.25</v>
      </c>
      <c r="I33">
        <v>1</v>
      </c>
      <c r="J33">
        <v>2</v>
      </c>
      <c r="K33">
        <v>2</v>
      </c>
      <c r="L33">
        <f t="shared" si="6"/>
        <v>6.5458333333333327E-2</v>
      </c>
      <c r="M33">
        <f t="shared" si="7"/>
        <v>1.0473333333333332</v>
      </c>
      <c r="N33">
        <f t="shared" si="8"/>
        <v>0.25000003465736143</v>
      </c>
      <c r="O33">
        <f t="shared" si="9"/>
        <v>0.62996055405779472</v>
      </c>
      <c r="P33" s="9">
        <v>3E-10</v>
      </c>
      <c r="Q33" s="7" t="s">
        <v>38</v>
      </c>
      <c r="R33" s="7"/>
      <c r="S33" s="7"/>
      <c r="T33" s="7"/>
      <c r="U33" s="7"/>
      <c r="V33" s="10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</row>
    <row r="34" spans="1:256" x14ac:dyDescent="0.2">
      <c r="A34" s="13" t="s">
        <v>87</v>
      </c>
      <c r="B34" s="8" t="s">
        <v>88</v>
      </c>
      <c r="C34" s="7">
        <v>63</v>
      </c>
      <c r="D34" s="7">
        <v>42</v>
      </c>
      <c r="E34" s="7">
        <f>(10^(1.01219))*D34^0.27173</f>
        <v>28.397200621796017</v>
      </c>
      <c r="F34" s="7">
        <v>31.5</v>
      </c>
      <c r="G34" s="7" t="s">
        <v>89</v>
      </c>
      <c r="H34">
        <v>0.5</v>
      </c>
      <c r="I34">
        <v>1</v>
      </c>
      <c r="J34">
        <v>1.5</v>
      </c>
      <c r="K34">
        <v>5</v>
      </c>
      <c r="L34">
        <f t="shared" si="6"/>
        <v>0.19637499999999997</v>
      </c>
      <c r="M34">
        <f t="shared" si="7"/>
        <v>2.6183333333333332</v>
      </c>
      <c r="N34">
        <f t="shared" si="8"/>
        <v>0.36056242935747262</v>
      </c>
      <c r="O34">
        <f t="shared" si="9"/>
        <v>0.85498798673326359</v>
      </c>
      <c r="P34" s="9">
        <v>5.5800000000000004E-10</v>
      </c>
      <c r="Q34" s="7" t="s">
        <v>90</v>
      </c>
      <c r="R34" s="7"/>
      <c r="S34" s="7"/>
      <c r="T34" s="7"/>
      <c r="U34" s="7"/>
      <c r="V34" s="10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</row>
    <row r="35" spans="1:256" x14ac:dyDescent="0.2">
      <c r="A35" s="11" t="s">
        <v>91</v>
      </c>
      <c r="B35" s="8" t="s">
        <v>92</v>
      </c>
      <c r="C35" s="7">
        <v>61</v>
      </c>
      <c r="D35" s="7" t="s">
        <v>19</v>
      </c>
      <c r="E35" s="7" t="s">
        <v>19</v>
      </c>
      <c r="F35" s="7">
        <v>30.5</v>
      </c>
      <c r="G35" s="7" t="s">
        <v>20</v>
      </c>
      <c r="H35">
        <v>0.5</v>
      </c>
      <c r="I35">
        <v>1</v>
      </c>
      <c r="J35">
        <v>1</v>
      </c>
      <c r="K35">
        <v>5</v>
      </c>
      <c r="L35">
        <f t="shared" si="6"/>
        <v>0.13091666666666665</v>
      </c>
      <c r="M35">
        <f t="shared" si="7"/>
        <v>2.6183333333333332</v>
      </c>
      <c r="N35">
        <f t="shared" si="8"/>
        <v>0.31498029886166723</v>
      </c>
      <c r="O35">
        <f t="shared" si="9"/>
        <v>0.85498798673326359</v>
      </c>
      <c r="P35" s="9">
        <v>7.800000000000002E-9</v>
      </c>
      <c r="Q35" s="7" t="s">
        <v>93</v>
      </c>
      <c r="R35" s="7"/>
      <c r="S35" s="7"/>
      <c r="T35" s="7"/>
      <c r="U35" s="7"/>
      <c r="V35" s="10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</row>
    <row r="36" spans="1:256" x14ac:dyDescent="0.2">
      <c r="A36" s="7" t="s">
        <v>91</v>
      </c>
      <c r="B36" s="8" t="s">
        <v>92</v>
      </c>
      <c r="C36" s="7">
        <v>61</v>
      </c>
      <c r="D36" s="7" t="s">
        <v>19</v>
      </c>
      <c r="E36" s="7" t="s">
        <v>19</v>
      </c>
      <c r="F36" s="7">
        <v>30.5</v>
      </c>
      <c r="G36" s="7" t="s">
        <v>20</v>
      </c>
      <c r="H36">
        <v>0.5</v>
      </c>
      <c r="I36">
        <v>1</v>
      </c>
      <c r="J36">
        <v>1</v>
      </c>
      <c r="K36">
        <v>5</v>
      </c>
      <c r="L36">
        <f t="shared" si="6"/>
        <v>0.13091666666666665</v>
      </c>
      <c r="M36">
        <f t="shared" si="7"/>
        <v>2.6183333333333332</v>
      </c>
      <c r="N36">
        <f t="shared" si="8"/>
        <v>0.31498029886166723</v>
      </c>
      <c r="O36">
        <f t="shared" si="9"/>
        <v>0.85498798673326359</v>
      </c>
      <c r="P36" s="9">
        <v>9.8000000000000017E-9</v>
      </c>
      <c r="Q36" s="7" t="s">
        <v>93</v>
      </c>
      <c r="R36" s="7"/>
      <c r="S36" s="7"/>
      <c r="T36" s="7"/>
      <c r="U36" s="7"/>
      <c r="V36" s="10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</row>
    <row r="37" spans="1:256" x14ac:dyDescent="0.2">
      <c r="A37" s="11" t="s">
        <v>94</v>
      </c>
      <c r="B37" s="8">
        <v>300</v>
      </c>
      <c r="C37" s="7" t="s">
        <v>95</v>
      </c>
      <c r="D37" s="7" t="s">
        <v>19</v>
      </c>
      <c r="E37" s="7" t="s">
        <v>19</v>
      </c>
      <c r="F37" s="7">
        <v>96</v>
      </c>
      <c r="G37" s="7" t="s">
        <v>96</v>
      </c>
      <c r="H37">
        <v>0.7</v>
      </c>
      <c r="I37">
        <v>1.1000000000000001</v>
      </c>
      <c r="J37">
        <v>2</v>
      </c>
      <c r="K37">
        <v>4</v>
      </c>
      <c r="L37">
        <f t="shared" si="6"/>
        <v>0.51319333333333317</v>
      </c>
      <c r="M37">
        <f t="shared" si="7"/>
        <v>2.5345466666666669</v>
      </c>
      <c r="N37">
        <f t="shared" si="8"/>
        <v>0.49664422894883975</v>
      </c>
      <c r="O37">
        <f t="shared" si="9"/>
        <v>0.84576906997888013</v>
      </c>
      <c r="P37" s="9">
        <v>4.9999999999999997E-12</v>
      </c>
      <c r="Q37" s="7" t="s">
        <v>97</v>
      </c>
      <c r="R37" s="7"/>
      <c r="S37" s="7"/>
      <c r="T37" s="7"/>
      <c r="U37" s="7"/>
      <c r="V37" s="10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</row>
    <row r="38" spans="1:256" x14ac:dyDescent="0.2">
      <c r="A38" s="7" t="s">
        <v>94</v>
      </c>
      <c r="B38" s="8">
        <v>780</v>
      </c>
      <c r="C38" s="7" t="s">
        <v>95</v>
      </c>
      <c r="D38" s="7" t="s">
        <v>19</v>
      </c>
      <c r="E38" s="7" t="s">
        <v>19</v>
      </c>
      <c r="F38" s="7">
        <v>96</v>
      </c>
      <c r="G38" s="7" t="s">
        <v>96</v>
      </c>
      <c r="H38">
        <v>0.7</v>
      </c>
      <c r="I38">
        <v>1.1000000000000001</v>
      </c>
      <c r="J38">
        <v>2</v>
      </c>
      <c r="K38">
        <v>4</v>
      </c>
      <c r="L38">
        <f t="shared" si="6"/>
        <v>0.51319333333333317</v>
      </c>
      <c r="M38">
        <f t="shared" si="7"/>
        <v>2.5345466666666669</v>
      </c>
      <c r="N38">
        <f t="shared" si="8"/>
        <v>0.49664422894883975</v>
      </c>
      <c r="O38">
        <f t="shared" si="9"/>
        <v>0.84576906997888013</v>
      </c>
      <c r="P38" s="9">
        <v>2.0999999999999999E-11</v>
      </c>
      <c r="Q38" s="7" t="s">
        <v>97</v>
      </c>
      <c r="R38" s="7"/>
      <c r="S38" s="7"/>
      <c r="T38" s="7"/>
      <c r="U38" s="7"/>
      <c r="V38" s="10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</row>
    <row r="39" spans="1:256" x14ac:dyDescent="0.2">
      <c r="A39" s="7" t="s">
        <v>94</v>
      </c>
      <c r="B39" s="8">
        <v>316</v>
      </c>
      <c r="C39" s="7" t="s">
        <v>95</v>
      </c>
      <c r="D39" s="7" t="s">
        <v>19</v>
      </c>
      <c r="E39" s="7" t="s">
        <v>19</v>
      </c>
      <c r="F39" s="7">
        <v>96</v>
      </c>
      <c r="G39" s="7" t="s">
        <v>96</v>
      </c>
      <c r="H39">
        <v>0.7</v>
      </c>
      <c r="I39">
        <v>1.1000000000000001</v>
      </c>
      <c r="J39">
        <v>2</v>
      </c>
      <c r="K39">
        <v>4</v>
      </c>
      <c r="L39">
        <f t="shared" si="6"/>
        <v>0.51319333333333317</v>
      </c>
      <c r="M39">
        <f t="shared" si="7"/>
        <v>2.5345466666666669</v>
      </c>
      <c r="N39">
        <f t="shared" si="8"/>
        <v>0.49664422894883975</v>
      </c>
      <c r="O39">
        <f t="shared" si="9"/>
        <v>0.84576906997888013</v>
      </c>
      <c r="P39" s="9">
        <v>3.3000000000000002E-11</v>
      </c>
      <c r="Q39" s="7" t="s">
        <v>97</v>
      </c>
      <c r="R39" s="7"/>
      <c r="S39" s="7"/>
      <c r="T39" s="7"/>
      <c r="U39" s="7"/>
      <c r="V39" s="10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</row>
    <row r="40" spans="1:256" x14ac:dyDescent="0.2">
      <c r="A40" s="7" t="s">
        <v>94</v>
      </c>
      <c r="B40" s="8">
        <v>356</v>
      </c>
      <c r="C40" s="7" t="s">
        <v>95</v>
      </c>
      <c r="D40" s="7" t="s">
        <v>19</v>
      </c>
      <c r="E40" s="7" t="s">
        <v>19</v>
      </c>
      <c r="F40" s="7">
        <v>96</v>
      </c>
      <c r="G40" s="7" t="s">
        <v>96</v>
      </c>
      <c r="H40">
        <v>0.7</v>
      </c>
      <c r="I40">
        <v>1.1000000000000001</v>
      </c>
      <c r="J40">
        <v>2</v>
      </c>
      <c r="K40">
        <v>4</v>
      </c>
      <c r="L40">
        <f t="shared" si="6"/>
        <v>0.51319333333333317</v>
      </c>
      <c r="M40">
        <f t="shared" si="7"/>
        <v>2.5345466666666669</v>
      </c>
      <c r="N40">
        <f t="shared" si="8"/>
        <v>0.49664422894883975</v>
      </c>
      <c r="O40">
        <f t="shared" si="9"/>
        <v>0.84576906997888013</v>
      </c>
      <c r="P40" s="9">
        <v>3.2000000000000005E-9</v>
      </c>
      <c r="Q40" s="7" t="s">
        <v>98</v>
      </c>
      <c r="R40" s="7"/>
      <c r="S40" s="7"/>
      <c r="T40" s="7"/>
      <c r="U40" s="7"/>
      <c r="V40" s="1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</row>
    <row r="41" spans="1:256" x14ac:dyDescent="0.2">
      <c r="A41" s="12" t="s">
        <v>99</v>
      </c>
      <c r="B41" s="8" t="s">
        <v>100</v>
      </c>
      <c r="C41" s="7">
        <v>83</v>
      </c>
      <c r="D41" s="7" t="s">
        <v>19</v>
      </c>
      <c r="E41" s="7" t="s">
        <v>19</v>
      </c>
      <c r="F41" s="7">
        <v>41.5</v>
      </c>
      <c r="G41" s="7" t="s">
        <v>19</v>
      </c>
      <c r="H41" t="s">
        <v>19</v>
      </c>
      <c r="I41" t="s">
        <v>19</v>
      </c>
      <c r="J41" t="s">
        <v>19</v>
      </c>
      <c r="K41" t="s">
        <v>19</v>
      </c>
      <c r="L41" t="s">
        <v>19</v>
      </c>
      <c r="M41" t="s">
        <v>19</v>
      </c>
      <c r="N41" t="s">
        <v>19</v>
      </c>
      <c r="O41" t="s">
        <v>19</v>
      </c>
      <c r="P41" s="9">
        <v>6.1E-9</v>
      </c>
      <c r="Q41" s="7" t="s">
        <v>101</v>
      </c>
      <c r="R41" s="7"/>
      <c r="S41" s="7"/>
      <c r="T41" s="7"/>
      <c r="U41" s="7"/>
      <c r="V41" s="10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</row>
    <row r="42" spans="1:256" x14ac:dyDescent="0.2">
      <c r="A42" s="12" t="s">
        <v>102</v>
      </c>
      <c r="B42" s="8" t="s">
        <v>103</v>
      </c>
      <c r="C42" s="7">
        <v>58.9</v>
      </c>
      <c r="D42" s="7">
        <f t="shared" ref="D42:D43" si="11">39562/1000</f>
        <v>39.561999999999998</v>
      </c>
      <c r="E42" s="7">
        <f t="shared" ref="E42:E62" si="12">(10^(1.01219))*D42^0.27173</f>
        <v>27.939486231590905</v>
      </c>
      <c r="F42" s="7">
        <v>29.45</v>
      </c>
      <c r="G42" s="7" t="s">
        <v>89</v>
      </c>
      <c r="H42">
        <v>0.5</v>
      </c>
      <c r="I42">
        <v>1</v>
      </c>
      <c r="J42">
        <v>1.5</v>
      </c>
      <c r="K42">
        <v>5</v>
      </c>
      <c r="L42">
        <f t="shared" ref="L42:L91" si="13">4/3*3.142*(H42/2)^2*(J42/2)</f>
        <v>0.19637499999999997</v>
      </c>
      <c r="M42">
        <f t="shared" ref="M42:M91" si="14">4/3*3.142*(I42/2)^2*(K42/2)</f>
        <v>2.6183333333333332</v>
      </c>
      <c r="N42">
        <f t="shared" ref="N42:N91" si="15">(3/(4*3.142)*L42)^0.3333333</f>
        <v>0.36056242935747262</v>
      </c>
      <c r="O42">
        <f t="shared" ref="O42:O91" si="16">(3/(4*3.142)*M42)^0.3333333</f>
        <v>0.85498798673326359</v>
      </c>
      <c r="P42" s="7">
        <v>2.51E-8</v>
      </c>
      <c r="Q42" s="7" t="s">
        <v>104</v>
      </c>
      <c r="R42" s="7"/>
      <c r="S42" s="7"/>
      <c r="T42" s="7"/>
      <c r="U42" s="7"/>
      <c r="V42" s="10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</row>
    <row r="43" spans="1:256" x14ac:dyDescent="0.2">
      <c r="A43" s="13" t="s">
        <v>105</v>
      </c>
      <c r="B43" s="8" t="s">
        <v>103</v>
      </c>
      <c r="C43" s="7">
        <v>58.9</v>
      </c>
      <c r="D43" s="7">
        <f t="shared" si="11"/>
        <v>39.561999999999998</v>
      </c>
      <c r="E43" s="7">
        <f t="shared" si="12"/>
        <v>27.939486231590905</v>
      </c>
      <c r="F43" s="7">
        <v>29.45</v>
      </c>
      <c r="G43" s="7" t="s">
        <v>89</v>
      </c>
      <c r="H43">
        <v>0.5</v>
      </c>
      <c r="I43">
        <v>1</v>
      </c>
      <c r="J43">
        <v>1.5</v>
      </c>
      <c r="K43">
        <v>5</v>
      </c>
      <c r="L43">
        <f t="shared" si="13"/>
        <v>0.19637499999999997</v>
      </c>
      <c r="M43">
        <f t="shared" si="14"/>
        <v>2.6183333333333332</v>
      </c>
      <c r="N43">
        <f t="shared" si="15"/>
        <v>0.36056242935747262</v>
      </c>
      <c r="O43">
        <f t="shared" si="16"/>
        <v>0.85498798673326359</v>
      </c>
      <c r="P43" s="7">
        <v>2.23E-9</v>
      </c>
      <c r="Q43" s="7" t="s">
        <v>104</v>
      </c>
      <c r="R43" s="7"/>
      <c r="S43" s="7"/>
      <c r="T43" s="7"/>
      <c r="U43" s="7"/>
      <c r="V43" s="10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</row>
    <row r="44" spans="1:256" x14ac:dyDescent="0.2">
      <c r="A44" s="11" t="s">
        <v>106</v>
      </c>
      <c r="B44" s="8" t="s">
        <v>107</v>
      </c>
      <c r="C44" s="7">
        <v>64</v>
      </c>
      <c r="D44" s="7">
        <v>46</v>
      </c>
      <c r="E44" s="7">
        <f t="shared" si="12"/>
        <v>29.107920868868085</v>
      </c>
      <c r="F44" s="7">
        <v>32</v>
      </c>
      <c r="G44" s="7" t="s">
        <v>108</v>
      </c>
      <c r="H44">
        <v>1</v>
      </c>
      <c r="I44">
        <v>1.5</v>
      </c>
      <c r="J44">
        <v>1.5</v>
      </c>
      <c r="K44">
        <v>2.5</v>
      </c>
      <c r="L44">
        <f t="shared" si="13"/>
        <v>0.78549999999999986</v>
      </c>
      <c r="M44">
        <f t="shared" si="14"/>
        <v>2.9456249999999997</v>
      </c>
      <c r="N44">
        <f t="shared" si="15"/>
        <v>0.57235715321374458</v>
      </c>
      <c r="O44">
        <f t="shared" si="16"/>
        <v>0.88922333656260799</v>
      </c>
      <c r="P44" s="9">
        <v>1.5300000000000001E-7</v>
      </c>
      <c r="Q44" s="7" t="s">
        <v>109</v>
      </c>
      <c r="R44" s="7"/>
      <c r="S44" s="7"/>
      <c r="T44" s="7"/>
      <c r="U44" s="7"/>
      <c r="V44" s="10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</row>
    <row r="45" spans="1:256" x14ac:dyDescent="0.2">
      <c r="A45" s="7" t="s">
        <v>106</v>
      </c>
      <c r="B45" s="8" t="s">
        <v>110</v>
      </c>
      <c r="C45" s="7">
        <v>70</v>
      </c>
      <c r="D45" s="7">
        <f>99730/1000</f>
        <v>99.73</v>
      </c>
      <c r="E45" s="7">
        <f t="shared" si="12"/>
        <v>35.919554351941734</v>
      </c>
      <c r="F45" s="7">
        <v>35</v>
      </c>
      <c r="G45" s="7" t="s">
        <v>108</v>
      </c>
      <c r="H45">
        <v>1</v>
      </c>
      <c r="I45">
        <v>1.5</v>
      </c>
      <c r="J45">
        <v>1.5</v>
      </c>
      <c r="K45">
        <v>2.5</v>
      </c>
      <c r="L45">
        <f t="shared" si="13"/>
        <v>0.78549999999999986</v>
      </c>
      <c r="M45">
        <f t="shared" si="14"/>
        <v>2.9456249999999997</v>
      </c>
      <c r="N45">
        <f t="shared" si="15"/>
        <v>0.57235715321374458</v>
      </c>
      <c r="O45">
        <f t="shared" si="16"/>
        <v>0.88922333656260799</v>
      </c>
      <c r="P45" s="9">
        <v>1.2E-9</v>
      </c>
      <c r="Q45" s="7" t="s">
        <v>111</v>
      </c>
      <c r="R45" s="7"/>
      <c r="S45" s="7"/>
      <c r="T45" s="7"/>
      <c r="U45" s="7"/>
      <c r="V45" s="10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</row>
    <row r="46" spans="1:256" x14ac:dyDescent="0.2">
      <c r="A46" s="7" t="s">
        <v>106</v>
      </c>
      <c r="B46" s="8" t="s">
        <v>112</v>
      </c>
      <c r="C46" s="7">
        <v>60</v>
      </c>
      <c r="D46" s="7">
        <f>42654/1000</f>
        <v>42.654000000000003</v>
      </c>
      <c r="E46" s="7">
        <f t="shared" si="12"/>
        <v>28.516680303399582</v>
      </c>
      <c r="F46" s="7">
        <v>30</v>
      </c>
      <c r="G46" s="7" t="s">
        <v>108</v>
      </c>
      <c r="H46">
        <v>1</v>
      </c>
      <c r="I46">
        <v>1.5</v>
      </c>
      <c r="J46">
        <v>1.5</v>
      </c>
      <c r="K46">
        <v>2.5</v>
      </c>
      <c r="L46">
        <f t="shared" si="13"/>
        <v>0.78549999999999986</v>
      </c>
      <c r="M46">
        <f t="shared" si="14"/>
        <v>2.9456249999999997</v>
      </c>
      <c r="N46">
        <f t="shared" si="15"/>
        <v>0.57235715321374458</v>
      </c>
      <c r="O46">
        <f t="shared" si="16"/>
        <v>0.88922333656260799</v>
      </c>
      <c r="P46" s="9">
        <v>1.6999999999999999E-9</v>
      </c>
      <c r="Q46" s="7" t="s">
        <v>111</v>
      </c>
      <c r="R46" s="7"/>
      <c r="S46" s="7"/>
      <c r="T46" s="7"/>
      <c r="U46" s="7"/>
      <c r="V46" s="10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</row>
    <row r="47" spans="1:256" x14ac:dyDescent="0.2">
      <c r="A47" s="7" t="s">
        <v>84</v>
      </c>
      <c r="B47" s="8" t="s">
        <v>113</v>
      </c>
      <c r="C47" s="7" t="s">
        <v>19</v>
      </c>
      <c r="D47" s="7">
        <v>49</v>
      </c>
      <c r="E47" s="7">
        <f t="shared" si="12"/>
        <v>29.611948187999754</v>
      </c>
      <c r="F47" s="7">
        <v>29.611948187999751</v>
      </c>
      <c r="G47" s="7" t="s">
        <v>82</v>
      </c>
      <c r="H47">
        <v>0.25</v>
      </c>
      <c r="I47">
        <v>1</v>
      </c>
      <c r="J47">
        <v>2</v>
      </c>
      <c r="K47">
        <v>2</v>
      </c>
      <c r="L47">
        <f t="shared" si="13"/>
        <v>6.5458333333333327E-2</v>
      </c>
      <c r="M47">
        <f t="shared" si="14"/>
        <v>1.0473333333333332</v>
      </c>
      <c r="N47">
        <f t="shared" si="15"/>
        <v>0.25000003465736143</v>
      </c>
      <c r="O47">
        <f t="shared" si="16"/>
        <v>0.62996055405779472</v>
      </c>
      <c r="P47" s="7">
        <v>4.5E-10</v>
      </c>
      <c r="Q47" s="7" t="s">
        <v>114</v>
      </c>
      <c r="R47" s="7"/>
      <c r="S47" s="7"/>
      <c r="T47" s="7"/>
      <c r="U47" s="7"/>
      <c r="V47" s="10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</row>
    <row r="48" spans="1:256" x14ac:dyDescent="0.2">
      <c r="A48" s="7" t="s">
        <v>84</v>
      </c>
      <c r="B48" s="8" t="s">
        <v>115</v>
      </c>
      <c r="C48" s="7" t="s">
        <v>19</v>
      </c>
      <c r="D48" s="7">
        <v>6</v>
      </c>
      <c r="E48" s="7">
        <f t="shared" si="12"/>
        <v>16.735436307013529</v>
      </c>
      <c r="F48" s="7">
        <v>16.735436307013529</v>
      </c>
      <c r="G48" s="7" t="s">
        <v>82</v>
      </c>
      <c r="H48">
        <v>0.25</v>
      </c>
      <c r="I48">
        <v>1</v>
      </c>
      <c r="J48">
        <v>2</v>
      </c>
      <c r="K48">
        <v>2</v>
      </c>
      <c r="L48">
        <f t="shared" si="13"/>
        <v>6.5458333333333327E-2</v>
      </c>
      <c r="M48">
        <f t="shared" si="14"/>
        <v>1.0473333333333332</v>
      </c>
      <c r="N48">
        <f t="shared" si="15"/>
        <v>0.25000003465736143</v>
      </c>
      <c r="O48">
        <f t="shared" si="16"/>
        <v>0.62996055405779472</v>
      </c>
      <c r="P48" s="7">
        <v>8.9999999999999999E-11</v>
      </c>
      <c r="Q48" s="7" t="s">
        <v>114</v>
      </c>
      <c r="R48" s="7"/>
      <c r="S48" s="7"/>
      <c r="T48" s="7"/>
      <c r="U48" s="7"/>
      <c r="V48" s="10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</row>
    <row r="49" spans="1:256" x14ac:dyDescent="0.2">
      <c r="A49" s="7" t="s">
        <v>84</v>
      </c>
      <c r="B49" s="8" t="s">
        <v>116</v>
      </c>
      <c r="C49" s="7" t="s">
        <v>19</v>
      </c>
      <c r="D49" s="7">
        <v>4</v>
      </c>
      <c r="E49" s="7">
        <f t="shared" si="12"/>
        <v>14.989521225700654</v>
      </c>
      <c r="F49" s="7">
        <v>14.989521225700654</v>
      </c>
      <c r="G49" s="7" t="s">
        <v>82</v>
      </c>
      <c r="H49">
        <v>0.25</v>
      </c>
      <c r="I49">
        <v>1</v>
      </c>
      <c r="J49">
        <v>2</v>
      </c>
      <c r="K49">
        <v>2</v>
      </c>
      <c r="L49">
        <f t="shared" si="13"/>
        <v>6.5458333333333327E-2</v>
      </c>
      <c r="M49">
        <f t="shared" si="14"/>
        <v>1.0473333333333332</v>
      </c>
      <c r="N49">
        <f t="shared" si="15"/>
        <v>0.25000003465736143</v>
      </c>
      <c r="O49">
        <f t="shared" si="16"/>
        <v>0.62996055405779472</v>
      </c>
      <c r="P49" s="7">
        <v>6.5000000000000003E-10</v>
      </c>
      <c r="Q49" s="7" t="s">
        <v>114</v>
      </c>
      <c r="R49" s="7"/>
      <c r="S49" s="7"/>
      <c r="T49" s="7"/>
      <c r="U49" s="7"/>
      <c r="V49" s="10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</row>
    <row r="50" spans="1:256" x14ac:dyDescent="0.2">
      <c r="A50" s="7" t="s">
        <v>84</v>
      </c>
      <c r="B50" s="8" t="s">
        <v>117</v>
      </c>
      <c r="C50" s="7" t="s">
        <v>19</v>
      </c>
      <c r="D50" s="7">
        <v>43</v>
      </c>
      <c r="E50" s="7">
        <f t="shared" si="12"/>
        <v>28.579352390634444</v>
      </c>
      <c r="F50" s="7">
        <v>28.579352390634444</v>
      </c>
      <c r="G50" s="7" t="s">
        <v>82</v>
      </c>
      <c r="H50">
        <v>0.25</v>
      </c>
      <c r="I50">
        <v>1</v>
      </c>
      <c r="J50">
        <v>2</v>
      </c>
      <c r="K50">
        <v>2</v>
      </c>
      <c r="L50">
        <f t="shared" si="13"/>
        <v>6.5458333333333327E-2</v>
      </c>
      <c r="M50">
        <f t="shared" si="14"/>
        <v>1.0473333333333332</v>
      </c>
      <c r="N50">
        <f t="shared" si="15"/>
        <v>0.25000003465736143</v>
      </c>
      <c r="O50">
        <f t="shared" si="16"/>
        <v>0.62996055405779472</v>
      </c>
      <c r="P50" s="7">
        <v>0</v>
      </c>
      <c r="Q50" s="7" t="s">
        <v>114</v>
      </c>
      <c r="R50" s="7"/>
      <c r="S50" s="7"/>
      <c r="T50" s="7"/>
      <c r="U50" s="7"/>
      <c r="V50" s="1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</row>
    <row r="51" spans="1:256" x14ac:dyDescent="0.2">
      <c r="A51" s="7" t="s">
        <v>84</v>
      </c>
      <c r="B51" s="8" t="s">
        <v>118</v>
      </c>
      <c r="C51" s="7" t="s">
        <v>19</v>
      </c>
      <c r="D51" s="7">
        <v>100</v>
      </c>
      <c r="E51" s="7">
        <f t="shared" si="12"/>
        <v>35.945952824009694</v>
      </c>
      <c r="F51" s="7">
        <v>35.945952824009687</v>
      </c>
      <c r="G51" s="7" t="s">
        <v>82</v>
      </c>
      <c r="H51">
        <v>0.25</v>
      </c>
      <c r="I51">
        <v>1</v>
      </c>
      <c r="J51">
        <v>2</v>
      </c>
      <c r="K51">
        <v>2</v>
      </c>
      <c r="L51">
        <f t="shared" si="13"/>
        <v>6.5458333333333327E-2</v>
      </c>
      <c r="M51">
        <f t="shared" si="14"/>
        <v>1.0473333333333332</v>
      </c>
      <c r="N51">
        <f t="shared" si="15"/>
        <v>0.25000003465736143</v>
      </c>
      <c r="O51">
        <f t="shared" si="16"/>
        <v>0.62996055405779472</v>
      </c>
      <c r="P51" s="7">
        <v>2.1999999999999999E-10</v>
      </c>
      <c r="Q51" s="7" t="s">
        <v>114</v>
      </c>
      <c r="R51" s="7"/>
      <c r="S51" s="7"/>
      <c r="T51" s="7"/>
      <c r="U51" s="7"/>
      <c r="V51" s="10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</row>
    <row r="52" spans="1:256" x14ac:dyDescent="0.2">
      <c r="A52" s="7" t="s">
        <v>84</v>
      </c>
      <c r="B52" s="8" t="s">
        <v>119</v>
      </c>
      <c r="C52" s="7" t="s">
        <v>19</v>
      </c>
      <c r="D52" s="7">
        <v>34</v>
      </c>
      <c r="E52" s="7">
        <f t="shared" si="12"/>
        <v>26.812589927757063</v>
      </c>
      <c r="F52" s="7">
        <v>26.812589927757063</v>
      </c>
      <c r="G52" s="7" t="s">
        <v>82</v>
      </c>
      <c r="H52">
        <v>0.25</v>
      </c>
      <c r="I52">
        <v>1</v>
      </c>
      <c r="J52">
        <v>2</v>
      </c>
      <c r="K52">
        <v>2</v>
      </c>
      <c r="L52">
        <f t="shared" si="13"/>
        <v>6.5458333333333327E-2</v>
      </c>
      <c r="M52">
        <f t="shared" si="14"/>
        <v>1.0473333333333332</v>
      </c>
      <c r="N52">
        <f t="shared" si="15"/>
        <v>0.25000003465736143</v>
      </c>
      <c r="O52">
        <f t="shared" si="16"/>
        <v>0.62996055405779472</v>
      </c>
      <c r="P52" s="7">
        <v>5.4999999999999997E-11</v>
      </c>
      <c r="Q52" s="7" t="s">
        <v>114</v>
      </c>
      <c r="R52" s="7"/>
      <c r="S52" s="7"/>
      <c r="T52" s="7"/>
      <c r="U52" s="7"/>
      <c r="V52" s="10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</row>
    <row r="53" spans="1:256" x14ac:dyDescent="0.2">
      <c r="A53" s="7" t="s">
        <v>84</v>
      </c>
      <c r="B53" s="8" t="s">
        <v>120</v>
      </c>
      <c r="C53" s="7" t="s">
        <v>19</v>
      </c>
      <c r="D53" s="7">
        <v>12</v>
      </c>
      <c r="E53" s="7">
        <f t="shared" si="12"/>
        <v>20.203933016147865</v>
      </c>
      <c r="F53" s="7">
        <v>20.203933016147865</v>
      </c>
      <c r="G53" s="7" t="s">
        <v>82</v>
      </c>
      <c r="H53">
        <v>0.25</v>
      </c>
      <c r="I53">
        <v>1</v>
      </c>
      <c r="J53">
        <v>2</v>
      </c>
      <c r="K53">
        <v>2</v>
      </c>
      <c r="L53">
        <f t="shared" si="13"/>
        <v>6.5458333333333327E-2</v>
      </c>
      <c r="M53">
        <f t="shared" si="14"/>
        <v>1.0473333333333332</v>
      </c>
      <c r="N53">
        <f t="shared" si="15"/>
        <v>0.25000003465736143</v>
      </c>
      <c r="O53">
        <f t="shared" si="16"/>
        <v>0.62996055405779472</v>
      </c>
      <c r="P53" s="7">
        <v>2.1999999999999999E-10</v>
      </c>
      <c r="Q53" s="7" t="s">
        <v>114</v>
      </c>
      <c r="R53" s="7"/>
      <c r="S53" s="7"/>
      <c r="T53" s="7"/>
      <c r="U53" s="7"/>
      <c r="V53" s="10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</row>
    <row r="54" spans="1:256" x14ac:dyDescent="0.2">
      <c r="A54" s="7" t="s">
        <v>84</v>
      </c>
      <c r="B54" s="8" t="s">
        <v>121</v>
      </c>
      <c r="C54" s="7" t="s">
        <v>19</v>
      </c>
      <c r="D54" s="7">
        <v>45</v>
      </c>
      <c r="E54" s="7">
        <f t="shared" si="12"/>
        <v>28.934596897665848</v>
      </c>
      <c r="F54" s="7">
        <v>28.934596897665852</v>
      </c>
      <c r="G54" s="7" t="s">
        <v>82</v>
      </c>
      <c r="H54">
        <v>0.25</v>
      </c>
      <c r="I54">
        <v>1</v>
      </c>
      <c r="J54">
        <v>2</v>
      </c>
      <c r="K54">
        <v>2</v>
      </c>
      <c r="L54">
        <f t="shared" si="13"/>
        <v>6.5458333333333327E-2</v>
      </c>
      <c r="M54">
        <f t="shared" si="14"/>
        <v>1.0473333333333332</v>
      </c>
      <c r="N54">
        <f t="shared" si="15"/>
        <v>0.25000003465736143</v>
      </c>
      <c r="O54">
        <f t="shared" si="16"/>
        <v>0.62996055405779472</v>
      </c>
      <c r="P54" s="7">
        <v>3.7999999999999998E-10</v>
      </c>
      <c r="Q54" s="7" t="s">
        <v>114</v>
      </c>
      <c r="R54" s="7"/>
      <c r="S54" s="7"/>
      <c r="T54" s="7"/>
      <c r="U54" s="7"/>
      <c r="V54" s="10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</row>
    <row r="55" spans="1:256" x14ac:dyDescent="0.2">
      <c r="A55" s="7" t="s">
        <v>84</v>
      </c>
      <c r="B55" s="8" t="s">
        <v>122</v>
      </c>
      <c r="C55" s="7">
        <f>1.5*50/2</f>
        <v>37.5</v>
      </c>
      <c r="D55" s="7">
        <v>5</v>
      </c>
      <c r="E55" s="7">
        <f t="shared" si="12"/>
        <v>15.926528359995233</v>
      </c>
      <c r="F55" s="7">
        <v>18.75</v>
      </c>
      <c r="G55" s="7" t="s">
        <v>82</v>
      </c>
      <c r="H55">
        <v>0.25</v>
      </c>
      <c r="I55">
        <v>1</v>
      </c>
      <c r="J55">
        <v>2</v>
      </c>
      <c r="K55">
        <v>2</v>
      </c>
      <c r="L55">
        <f t="shared" si="13"/>
        <v>6.5458333333333327E-2</v>
      </c>
      <c r="M55">
        <f t="shared" si="14"/>
        <v>1.0473333333333332</v>
      </c>
      <c r="N55">
        <f t="shared" si="15"/>
        <v>0.25000003465736143</v>
      </c>
      <c r="O55">
        <f t="shared" si="16"/>
        <v>0.62996055405779472</v>
      </c>
      <c r="P55" s="7">
        <v>2.8999999999999999E-9</v>
      </c>
      <c r="Q55" s="7" t="s">
        <v>114</v>
      </c>
      <c r="R55" s="7"/>
      <c r="S55" s="7"/>
      <c r="T55" s="7"/>
      <c r="U55" s="7"/>
      <c r="V55" s="10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</row>
    <row r="56" spans="1:256" x14ac:dyDescent="0.2">
      <c r="A56" s="7" t="s">
        <v>84</v>
      </c>
      <c r="B56" s="8" t="s">
        <v>123</v>
      </c>
      <c r="C56" s="7" t="s">
        <v>19</v>
      </c>
      <c r="D56" s="7">
        <v>15</v>
      </c>
      <c r="E56" s="7">
        <f t="shared" si="12"/>
        <v>21.466897262429551</v>
      </c>
      <c r="F56" s="7">
        <v>21.466897262429551</v>
      </c>
      <c r="G56" s="7" t="s">
        <v>82</v>
      </c>
      <c r="H56">
        <v>0.25</v>
      </c>
      <c r="I56">
        <v>1</v>
      </c>
      <c r="J56">
        <v>2</v>
      </c>
      <c r="K56">
        <v>2</v>
      </c>
      <c r="L56">
        <f t="shared" si="13"/>
        <v>6.5458333333333327E-2</v>
      </c>
      <c r="M56">
        <f t="shared" si="14"/>
        <v>1.0473333333333332</v>
      </c>
      <c r="N56">
        <f t="shared" si="15"/>
        <v>0.25000003465736143</v>
      </c>
      <c r="O56">
        <f t="shared" si="16"/>
        <v>0.62996055405779472</v>
      </c>
      <c r="P56" s="7">
        <v>4.5999999999999996E-10</v>
      </c>
      <c r="Q56" s="7" t="s">
        <v>114</v>
      </c>
      <c r="R56" s="7"/>
      <c r="S56" s="7"/>
      <c r="T56" s="7"/>
      <c r="U56" s="7"/>
      <c r="V56" s="10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</row>
    <row r="57" spans="1:256" x14ac:dyDescent="0.2">
      <c r="A57" s="7" t="s">
        <v>84</v>
      </c>
      <c r="B57" s="8" t="s">
        <v>81</v>
      </c>
      <c r="C57" s="7">
        <v>118</v>
      </c>
      <c r="D57" s="7">
        <v>170</v>
      </c>
      <c r="E57" s="7">
        <f t="shared" si="12"/>
        <v>41.521198937191016</v>
      </c>
      <c r="F57" s="7">
        <v>59</v>
      </c>
      <c r="G57" s="7" t="s">
        <v>82</v>
      </c>
      <c r="H57">
        <v>0.25</v>
      </c>
      <c r="I57">
        <v>1</v>
      </c>
      <c r="J57">
        <v>2</v>
      </c>
      <c r="K57">
        <v>2</v>
      </c>
      <c r="L57">
        <f t="shared" si="13"/>
        <v>6.5458333333333327E-2</v>
      </c>
      <c r="M57">
        <f t="shared" si="14"/>
        <v>1.0473333333333332</v>
      </c>
      <c r="N57">
        <f t="shared" si="15"/>
        <v>0.25000003465736143</v>
      </c>
      <c r="O57">
        <f t="shared" si="16"/>
        <v>0.62996055405779472</v>
      </c>
      <c r="P57" s="7">
        <v>4.0000000000000001E-10</v>
      </c>
      <c r="Q57" s="7" t="s">
        <v>114</v>
      </c>
      <c r="R57" s="7"/>
      <c r="S57" s="7"/>
      <c r="T57" s="7"/>
      <c r="U57" s="7"/>
      <c r="V57" s="10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</row>
    <row r="58" spans="1:256" x14ac:dyDescent="0.2">
      <c r="A58" s="7" t="s">
        <v>84</v>
      </c>
      <c r="B58" s="8" t="s">
        <v>86</v>
      </c>
      <c r="C58" s="7">
        <v>50</v>
      </c>
      <c r="D58" s="7">
        <v>38</v>
      </c>
      <c r="E58" s="7">
        <f t="shared" si="12"/>
        <v>27.635326293203761</v>
      </c>
      <c r="F58" s="7">
        <v>25</v>
      </c>
      <c r="G58" s="7" t="s">
        <v>82</v>
      </c>
      <c r="H58">
        <v>0.25</v>
      </c>
      <c r="I58">
        <v>1</v>
      </c>
      <c r="J58">
        <v>2</v>
      </c>
      <c r="K58">
        <v>2</v>
      </c>
      <c r="L58">
        <f t="shared" si="13"/>
        <v>6.5458333333333327E-2</v>
      </c>
      <c r="M58">
        <f t="shared" si="14"/>
        <v>1.0473333333333332</v>
      </c>
      <c r="N58">
        <f t="shared" si="15"/>
        <v>0.25000003465736143</v>
      </c>
      <c r="O58">
        <f t="shared" si="16"/>
        <v>0.62996055405779472</v>
      </c>
      <c r="P58" s="7">
        <v>1.6000000000000003E-9</v>
      </c>
      <c r="Q58" s="7" t="s">
        <v>114</v>
      </c>
      <c r="R58" s="7"/>
      <c r="S58" s="7"/>
      <c r="T58" s="7"/>
      <c r="U58" s="7"/>
      <c r="V58" s="10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</row>
    <row r="59" spans="1:256" x14ac:dyDescent="0.2">
      <c r="A59" s="7" t="s">
        <v>84</v>
      </c>
      <c r="B59" s="8" t="s">
        <v>124</v>
      </c>
      <c r="C59" s="7">
        <v>75</v>
      </c>
      <c r="D59" s="7">
        <v>170</v>
      </c>
      <c r="E59" s="7">
        <f t="shared" si="12"/>
        <v>41.521198937191016</v>
      </c>
      <c r="F59" s="7">
        <v>37.5</v>
      </c>
      <c r="G59" s="7" t="s">
        <v>82</v>
      </c>
      <c r="H59">
        <v>0.25</v>
      </c>
      <c r="I59">
        <v>1</v>
      </c>
      <c r="J59">
        <v>2</v>
      </c>
      <c r="K59">
        <v>2</v>
      </c>
      <c r="L59">
        <f t="shared" si="13"/>
        <v>6.5458333333333327E-2</v>
      </c>
      <c r="M59">
        <f t="shared" si="14"/>
        <v>1.0473333333333332</v>
      </c>
      <c r="N59">
        <f t="shared" si="15"/>
        <v>0.25000003465736143</v>
      </c>
      <c r="O59">
        <f t="shared" si="16"/>
        <v>0.62996055405779472</v>
      </c>
      <c r="P59" s="7">
        <v>5.0000000000000003E-10</v>
      </c>
      <c r="Q59" s="7" t="s">
        <v>114</v>
      </c>
      <c r="R59" s="7"/>
      <c r="S59" s="7"/>
      <c r="T59" s="7"/>
      <c r="U59" s="7"/>
      <c r="V59" s="10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</row>
    <row r="60" spans="1:256" x14ac:dyDescent="0.2">
      <c r="A60" s="7" t="s">
        <v>84</v>
      </c>
      <c r="B60" s="8" t="s">
        <v>85</v>
      </c>
      <c r="C60" s="7">
        <v>75</v>
      </c>
      <c r="D60" s="7">
        <v>122</v>
      </c>
      <c r="E60" s="7">
        <f t="shared" si="12"/>
        <v>37.941679992172183</v>
      </c>
      <c r="F60" s="7">
        <v>37.5</v>
      </c>
      <c r="G60" s="7" t="s">
        <v>82</v>
      </c>
      <c r="H60">
        <v>0.25</v>
      </c>
      <c r="I60">
        <v>1</v>
      </c>
      <c r="J60">
        <v>2</v>
      </c>
      <c r="K60">
        <v>2</v>
      </c>
      <c r="L60">
        <f t="shared" si="13"/>
        <v>6.5458333333333327E-2</v>
      </c>
      <c r="M60">
        <f t="shared" si="14"/>
        <v>1.0473333333333332</v>
      </c>
      <c r="N60">
        <f t="shared" si="15"/>
        <v>0.25000003465736143</v>
      </c>
      <c r="O60">
        <f t="shared" si="16"/>
        <v>0.62996055405779472</v>
      </c>
      <c r="P60" s="7">
        <v>2.0000000000000001E-10</v>
      </c>
      <c r="Q60" s="7" t="s">
        <v>114</v>
      </c>
      <c r="R60" s="7"/>
      <c r="S60" s="7"/>
      <c r="T60" s="7"/>
      <c r="U60" s="7"/>
      <c r="V60" s="1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</row>
    <row r="61" spans="1:256" x14ac:dyDescent="0.2">
      <c r="A61" s="7" t="s">
        <v>84</v>
      </c>
      <c r="B61" s="8" t="s">
        <v>125</v>
      </c>
      <c r="C61" s="7">
        <v>50</v>
      </c>
      <c r="D61" s="7">
        <v>40</v>
      </c>
      <c r="E61" s="7">
        <f t="shared" si="12"/>
        <v>28.023202264724659</v>
      </c>
      <c r="F61" s="7">
        <v>25</v>
      </c>
      <c r="G61" s="7" t="s">
        <v>82</v>
      </c>
      <c r="H61">
        <v>0.25</v>
      </c>
      <c r="I61">
        <v>1</v>
      </c>
      <c r="J61">
        <v>2</v>
      </c>
      <c r="K61">
        <v>2</v>
      </c>
      <c r="L61">
        <f t="shared" si="13"/>
        <v>6.5458333333333327E-2</v>
      </c>
      <c r="M61">
        <f t="shared" si="14"/>
        <v>1.0473333333333332</v>
      </c>
      <c r="N61">
        <f t="shared" si="15"/>
        <v>0.25000003465736143</v>
      </c>
      <c r="O61">
        <f t="shared" si="16"/>
        <v>0.62996055405779472</v>
      </c>
      <c r="P61" s="7">
        <v>3.0000000000000004E-9</v>
      </c>
      <c r="Q61" s="7" t="s">
        <v>114</v>
      </c>
      <c r="R61" s="7"/>
      <c r="S61" s="7"/>
      <c r="T61" s="7"/>
      <c r="U61" s="7"/>
      <c r="V61" s="10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</row>
    <row r="62" spans="1:256" x14ac:dyDescent="0.2">
      <c r="A62" s="7" t="s">
        <v>84</v>
      </c>
      <c r="B62" s="8" t="s">
        <v>126</v>
      </c>
      <c r="C62" s="7">
        <v>25</v>
      </c>
      <c r="D62" s="7">
        <v>4</v>
      </c>
      <c r="E62" s="7">
        <f t="shared" si="12"/>
        <v>14.989521225700654</v>
      </c>
      <c r="F62" s="7">
        <v>12.5</v>
      </c>
      <c r="G62" s="7" t="s">
        <v>82</v>
      </c>
      <c r="H62">
        <v>0.25</v>
      </c>
      <c r="I62">
        <v>1</v>
      </c>
      <c r="J62">
        <v>2</v>
      </c>
      <c r="K62">
        <v>2</v>
      </c>
      <c r="L62">
        <f t="shared" si="13"/>
        <v>6.5458333333333327E-2</v>
      </c>
      <c r="M62">
        <f t="shared" si="14"/>
        <v>1.0473333333333332</v>
      </c>
      <c r="N62">
        <f t="shared" si="15"/>
        <v>0.25000003465736143</v>
      </c>
      <c r="O62">
        <f t="shared" si="16"/>
        <v>0.62996055405779472</v>
      </c>
      <c r="P62" s="7">
        <v>3.7000000000000005E-9</v>
      </c>
      <c r="Q62" s="7" t="s">
        <v>114</v>
      </c>
      <c r="R62" s="7"/>
      <c r="S62" s="7"/>
      <c r="T62" s="7"/>
      <c r="U62" s="7"/>
      <c r="V62" s="10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</row>
    <row r="63" spans="1:256" x14ac:dyDescent="0.2">
      <c r="A63" s="13" t="s">
        <v>127</v>
      </c>
      <c r="B63" s="8" t="s">
        <v>81</v>
      </c>
      <c r="C63" s="7">
        <v>118</v>
      </c>
      <c r="D63" s="7" t="s">
        <v>19</v>
      </c>
      <c r="E63" s="7" t="s">
        <v>19</v>
      </c>
      <c r="F63" s="7">
        <v>59</v>
      </c>
      <c r="G63" s="7" t="s">
        <v>82</v>
      </c>
      <c r="H63">
        <v>0.25</v>
      </c>
      <c r="I63">
        <v>1</v>
      </c>
      <c r="J63">
        <v>2</v>
      </c>
      <c r="K63">
        <v>2</v>
      </c>
      <c r="L63">
        <f t="shared" si="13"/>
        <v>6.5458333333333327E-2</v>
      </c>
      <c r="M63">
        <f t="shared" si="14"/>
        <v>1.0473333333333332</v>
      </c>
      <c r="N63">
        <f t="shared" si="15"/>
        <v>0.25000003465736143</v>
      </c>
      <c r="O63">
        <f t="shared" si="16"/>
        <v>0.62996055405779472</v>
      </c>
      <c r="P63" s="9">
        <v>9.8000000000000017E-9</v>
      </c>
      <c r="Q63" s="7" t="s">
        <v>128</v>
      </c>
      <c r="R63" s="7"/>
      <c r="S63" s="7"/>
      <c r="T63" s="7"/>
      <c r="U63" s="7"/>
      <c r="V63" s="10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</row>
    <row r="64" spans="1:256" x14ac:dyDescent="0.2">
      <c r="A64" s="13" t="s">
        <v>127</v>
      </c>
      <c r="B64" s="8" t="s">
        <v>81</v>
      </c>
      <c r="C64" s="7">
        <v>118</v>
      </c>
      <c r="D64" s="7" t="s">
        <v>19</v>
      </c>
      <c r="E64" s="7" t="s">
        <v>19</v>
      </c>
      <c r="F64" s="7">
        <v>59</v>
      </c>
      <c r="G64" s="7" t="s">
        <v>129</v>
      </c>
      <c r="H64">
        <v>0.25</v>
      </c>
      <c r="I64">
        <v>1</v>
      </c>
      <c r="J64">
        <v>2</v>
      </c>
      <c r="K64">
        <v>2</v>
      </c>
      <c r="L64">
        <f t="shared" si="13"/>
        <v>6.5458333333333327E-2</v>
      </c>
      <c r="M64">
        <f t="shared" si="14"/>
        <v>1.0473333333333332</v>
      </c>
      <c r="N64">
        <f t="shared" si="15"/>
        <v>0.25000003465736143</v>
      </c>
      <c r="O64">
        <f t="shared" si="16"/>
        <v>0.62996055405779472</v>
      </c>
      <c r="P64" s="9">
        <v>5.2000000000000002E-9</v>
      </c>
      <c r="Q64" s="7" t="s">
        <v>128</v>
      </c>
      <c r="R64" s="7"/>
      <c r="S64" s="7"/>
      <c r="T64" s="7"/>
      <c r="U64" s="7"/>
      <c r="V64" s="10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</row>
    <row r="65" spans="1:256" x14ac:dyDescent="0.2">
      <c r="A65" s="13" t="s">
        <v>127</v>
      </c>
      <c r="B65" s="8" t="s">
        <v>81</v>
      </c>
      <c r="C65" s="7">
        <v>118</v>
      </c>
      <c r="D65" s="7" t="s">
        <v>19</v>
      </c>
      <c r="E65" s="7" t="s">
        <v>19</v>
      </c>
      <c r="F65" s="7">
        <v>59</v>
      </c>
      <c r="G65" s="7" t="s">
        <v>130</v>
      </c>
      <c r="H65">
        <v>0.25</v>
      </c>
      <c r="I65">
        <v>1</v>
      </c>
      <c r="J65">
        <v>2</v>
      </c>
      <c r="K65">
        <v>2</v>
      </c>
      <c r="L65">
        <f t="shared" si="13"/>
        <v>6.5458333333333327E-2</v>
      </c>
      <c r="M65">
        <f t="shared" si="14"/>
        <v>1.0473333333333332</v>
      </c>
      <c r="N65">
        <f t="shared" si="15"/>
        <v>0.25000003465736143</v>
      </c>
      <c r="O65">
        <f t="shared" si="16"/>
        <v>0.62996055405779472</v>
      </c>
      <c r="P65" s="9">
        <v>9.3000000000000006E-9</v>
      </c>
      <c r="Q65" s="7" t="s">
        <v>128</v>
      </c>
      <c r="R65" s="7"/>
      <c r="S65" s="7"/>
      <c r="T65" s="7"/>
      <c r="U65" s="7"/>
      <c r="V65" s="10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</row>
    <row r="66" spans="1:256" x14ac:dyDescent="0.2">
      <c r="A66" s="13" t="s">
        <v>127</v>
      </c>
      <c r="B66" s="8" t="s">
        <v>124</v>
      </c>
      <c r="C66" s="7">
        <v>75</v>
      </c>
      <c r="D66" s="7">
        <f t="shared" ref="D66:D68" si="17">168903/1000</f>
        <v>168.90299999999999</v>
      </c>
      <c r="E66" s="7">
        <f t="shared" ref="E66:E71" si="18">(10^(1.01219))*D66^0.27173</f>
        <v>41.448221557666763</v>
      </c>
      <c r="F66" s="7">
        <v>37.5</v>
      </c>
      <c r="G66" s="7" t="s">
        <v>131</v>
      </c>
      <c r="H66">
        <v>0.25</v>
      </c>
      <c r="I66">
        <v>1</v>
      </c>
      <c r="J66">
        <v>2</v>
      </c>
      <c r="K66">
        <v>2</v>
      </c>
      <c r="L66">
        <f t="shared" si="13"/>
        <v>6.5458333333333327E-2</v>
      </c>
      <c r="M66">
        <f t="shared" si="14"/>
        <v>1.0473333333333332</v>
      </c>
      <c r="N66">
        <f t="shared" si="15"/>
        <v>0.25000003465736143</v>
      </c>
      <c r="O66">
        <f t="shared" si="16"/>
        <v>0.62996055405779472</v>
      </c>
      <c r="P66" s="9">
        <v>2.1999999999999998E-8</v>
      </c>
      <c r="Q66" s="7" t="s">
        <v>128</v>
      </c>
      <c r="R66" s="7"/>
      <c r="S66" s="7"/>
      <c r="T66" s="7"/>
      <c r="U66" s="7"/>
      <c r="V66" s="10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</row>
    <row r="67" spans="1:256" x14ac:dyDescent="0.2">
      <c r="A67" s="13" t="s">
        <v>127</v>
      </c>
      <c r="B67" s="8" t="s">
        <v>124</v>
      </c>
      <c r="C67" s="7">
        <v>75</v>
      </c>
      <c r="D67" s="7">
        <f t="shared" si="17"/>
        <v>168.90299999999999</v>
      </c>
      <c r="E67" s="7">
        <f t="shared" si="18"/>
        <v>41.448221557666763</v>
      </c>
      <c r="F67" s="7">
        <v>37.5</v>
      </c>
      <c r="G67" s="7" t="s">
        <v>132</v>
      </c>
      <c r="H67">
        <v>0.25</v>
      </c>
      <c r="I67">
        <v>1</v>
      </c>
      <c r="J67">
        <v>2</v>
      </c>
      <c r="K67">
        <v>2</v>
      </c>
      <c r="L67">
        <f t="shared" si="13"/>
        <v>6.5458333333333327E-2</v>
      </c>
      <c r="M67">
        <f t="shared" si="14"/>
        <v>1.0473333333333332</v>
      </c>
      <c r="N67">
        <f t="shared" si="15"/>
        <v>0.25000003465736143</v>
      </c>
      <c r="O67">
        <f t="shared" si="16"/>
        <v>0.62996055405779472</v>
      </c>
      <c r="P67" s="9">
        <v>4.3999999999999997E-9</v>
      </c>
      <c r="Q67" s="7" t="s">
        <v>128</v>
      </c>
      <c r="R67" s="7"/>
      <c r="S67" s="7"/>
      <c r="T67" s="7"/>
      <c r="U67" s="7"/>
      <c r="V67" s="10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</row>
    <row r="68" spans="1:256" x14ac:dyDescent="0.2">
      <c r="A68" s="13" t="s">
        <v>127</v>
      </c>
      <c r="B68" s="8" t="s">
        <v>124</v>
      </c>
      <c r="C68" s="7">
        <v>75</v>
      </c>
      <c r="D68" s="7">
        <f t="shared" si="17"/>
        <v>168.90299999999999</v>
      </c>
      <c r="E68" s="7">
        <f t="shared" si="18"/>
        <v>41.448221557666763</v>
      </c>
      <c r="F68" s="7">
        <v>37.5</v>
      </c>
      <c r="G68" s="7" t="s">
        <v>133</v>
      </c>
      <c r="H68">
        <v>0.25</v>
      </c>
      <c r="I68">
        <v>1</v>
      </c>
      <c r="J68">
        <v>2</v>
      </c>
      <c r="K68">
        <v>2</v>
      </c>
      <c r="L68">
        <f t="shared" si="13"/>
        <v>6.5458333333333327E-2</v>
      </c>
      <c r="M68">
        <f t="shared" si="14"/>
        <v>1.0473333333333332</v>
      </c>
      <c r="N68">
        <f t="shared" si="15"/>
        <v>0.25000003465736143</v>
      </c>
      <c r="O68">
        <f t="shared" si="16"/>
        <v>0.62996055405779472</v>
      </c>
      <c r="P68" s="9">
        <v>2.0000000000000001E-9</v>
      </c>
      <c r="Q68" s="7" t="s">
        <v>128</v>
      </c>
      <c r="R68" s="7"/>
      <c r="S68" s="7"/>
      <c r="T68" s="7"/>
      <c r="U68" s="7"/>
      <c r="V68" s="10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</row>
    <row r="69" spans="1:256" x14ac:dyDescent="0.2">
      <c r="A69" s="13" t="s">
        <v>127</v>
      </c>
      <c r="B69" s="8" t="s">
        <v>85</v>
      </c>
      <c r="C69" s="7">
        <v>75</v>
      </c>
      <c r="D69" s="7">
        <f t="shared" ref="D69:D71" si="19">121750/1000</f>
        <v>121.75</v>
      </c>
      <c r="E69" s="7">
        <f t="shared" si="18"/>
        <v>37.920537379842912</v>
      </c>
      <c r="F69" s="7">
        <v>37.5</v>
      </c>
      <c r="G69" s="7" t="s">
        <v>134</v>
      </c>
      <c r="H69">
        <v>0.25</v>
      </c>
      <c r="I69">
        <v>1</v>
      </c>
      <c r="J69">
        <v>2</v>
      </c>
      <c r="K69">
        <v>2</v>
      </c>
      <c r="L69">
        <f t="shared" si="13"/>
        <v>6.5458333333333327E-2</v>
      </c>
      <c r="M69">
        <f t="shared" si="14"/>
        <v>1.0473333333333332</v>
      </c>
      <c r="N69">
        <f t="shared" si="15"/>
        <v>0.25000003465736143</v>
      </c>
      <c r="O69">
        <f t="shared" si="16"/>
        <v>0.62996055405779472</v>
      </c>
      <c r="P69" s="9">
        <v>2.4999999999999999E-8</v>
      </c>
      <c r="Q69" s="7" t="s">
        <v>128</v>
      </c>
      <c r="R69" s="7"/>
      <c r="S69" s="7"/>
      <c r="T69" s="7"/>
      <c r="U69" s="7"/>
      <c r="V69" s="10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</row>
    <row r="70" spans="1:256" x14ac:dyDescent="0.2">
      <c r="A70" s="13" t="s">
        <v>127</v>
      </c>
      <c r="B70" s="8" t="s">
        <v>85</v>
      </c>
      <c r="C70" s="7">
        <v>75</v>
      </c>
      <c r="D70" s="7">
        <f t="shared" si="19"/>
        <v>121.75</v>
      </c>
      <c r="E70" s="7">
        <f t="shared" si="18"/>
        <v>37.920537379842912</v>
      </c>
      <c r="F70" s="7">
        <v>37.5</v>
      </c>
      <c r="G70" s="7" t="s">
        <v>135</v>
      </c>
      <c r="H70">
        <v>0.25</v>
      </c>
      <c r="I70">
        <v>1</v>
      </c>
      <c r="J70">
        <v>2</v>
      </c>
      <c r="K70">
        <v>2</v>
      </c>
      <c r="L70">
        <f t="shared" si="13"/>
        <v>6.5458333333333327E-2</v>
      </c>
      <c r="M70">
        <f t="shared" si="14"/>
        <v>1.0473333333333332</v>
      </c>
      <c r="N70">
        <f t="shared" si="15"/>
        <v>0.25000003465736143</v>
      </c>
      <c r="O70">
        <f t="shared" si="16"/>
        <v>0.62996055405779472</v>
      </c>
      <c r="P70" s="9">
        <v>5.3000000000000011E-9</v>
      </c>
      <c r="Q70" s="7" t="s">
        <v>128</v>
      </c>
      <c r="R70" s="7"/>
      <c r="S70" s="7"/>
      <c r="T70" s="7"/>
      <c r="U70" s="7"/>
      <c r="V70" s="1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</row>
    <row r="71" spans="1:256" x14ac:dyDescent="0.2">
      <c r="A71" s="13" t="s">
        <v>127</v>
      </c>
      <c r="B71" s="8" t="s">
        <v>85</v>
      </c>
      <c r="C71" s="7">
        <v>75</v>
      </c>
      <c r="D71" s="7">
        <f t="shared" si="19"/>
        <v>121.75</v>
      </c>
      <c r="E71" s="7">
        <f t="shared" si="18"/>
        <v>37.920537379842912</v>
      </c>
      <c r="F71" s="7">
        <v>37.5</v>
      </c>
      <c r="G71" s="7" t="s">
        <v>136</v>
      </c>
      <c r="H71">
        <v>0.25</v>
      </c>
      <c r="I71">
        <v>1</v>
      </c>
      <c r="J71">
        <v>2</v>
      </c>
      <c r="K71">
        <v>2</v>
      </c>
      <c r="L71">
        <f t="shared" si="13"/>
        <v>6.5458333333333327E-2</v>
      </c>
      <c r="M71">
        <f t="shared" si="14"/>
        <v>1.0473333333333332</v>
      </c>
      <c r="N71">
        <f t="shared" si="15"/>
        <v>0.25000003465736143</v>
      </c>
      <c r="O71">
        <f t="shared" si="16"/>
        <v>0.62996055405779472</v>
      </c>
      <c r="P71" s="9">
        <v>6.900000000000001E-10</v>
      </c>
      <c r="Q71" s="7" t="s">
        <v>128</v>
      </c>
      <c r="R71" s="7"/>
      <c r="S71" s="7"/>
      <c r="T71" s="7"/>
      <c r="U71" s="7"/>
      <c r="V71" s="10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</row>
    <row r="72" spans="1:256" x14ac:dyDescent="0.2">
      <c r="A72" s="13" t="s">
        <v>127</v>
      </c>
      <c r="B72" s="8" t="s">
        <v>137</v>
      </c>
      <c r="C72" s="7" t="s">
        <v>19</v>
      </c>
      <c r="D72" s="7" t="s">
        <v>19</v>
      </c>
      <c r="E72" s="7" t="s">
        <v>19</v>
      </c>
      <c r="F72" s="7" t="s">
        <v>19</v>
      </c>
      <c r="G72" s="7" t="s">
        <v>138</v>
      </c>
      <c r="H72">
        <v>0.25</v>
      </c>
      <c r="I72">
        <v>1</v>
      </c>
      <c r="J72">
        <v>2</v>
      </c>
      <c r="K72">
        <v>2</v>
      </c>
      <c r="L72">
        <f t="shared" si="13"/>
        <v>6.5458333333333327E-2</v>
      </c>
      <c r="M72">
        <f t="shared" si="14"/>
        <v>1.0473333333333332</v>
      </c>
      <c r="N72">
        <f t="shared" si="15"/>
        <v>0.25000003465736143</v>
      </c>
      <c r="O72">
        <f t="shared" si="16"/>
        <v>0.62996055405779472</v>
      </c>
      <c r="P72" s="9">
        <v>3.4000000000000003E-9</v>
      </c>
      <c r="Q72" s="7" t="s">
        <v>128</v>
      </c>
      <c r="R72" s="7"/>
      <c r="S72" s="7"/>
      <c r="T72" s="7"/>
      <c r="U72" s="7"/>
      <c r="V72" s="10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</row>
    <row r="73" spans="1:256" x14ac:dyDescent="0.2">
      <c r="A73" s="13" t="s">
        <v>127</v>
      </c>
      <c r="B73" s="8" t="s">
        <v>137</v>
      </c>
      <c r="C73" s="7" t="s">
        <v>19</v>
      </c>
      <c r="D73" s="7" t="s">
        <v>19</v>
      </c>
      <c r="E73" s="7" t="s">
        <v>19</v>
      </c>
      <c r="F73" s="7" t="s">
        <v>19</v>
      </c>
      <c r="G73" s="7" t="s">
        <v>139</v>
      </c>
      <c r="H73">
        <v>0.25</v>
      </c>
      <c r="I73">
        <v>1</v>
      </c>
      <c r="J73">
        <v>2</v>
      </c>
      <c r="K73">
        <v>2</v>
      </c>
      <c r="L73">
        <f t="shared" si="13"/>
        <v>6.5458333333333327E-2</v>
      </c>
      <c r="M73">
        <f t="shared" si="14"/>
        <v>1.0473333333333332</v>
      </c>
      <c r="N73">
        <f t="shared" si="15"/>
        <v>0.25000003465736143</v>
      </c>
      <c r="O73">
        <f t="shared" si="16"/>
        <v>0.62996055405779472</v>
      </c>
      <c r="P73" s="9">
        <v>9.6999999999999996E-10</v>
      </c>
      <c r="Q73" s="7" t="s">
        <v>128</v>
      </c>
      <c r="R73" s="7"/>
      <c r="S73" s="7"/>
      <c r="T73" s="7"/>
      <c r="U73" s="7"/>
      <c r="V73" s="10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</row>
    <row r="74" spans="1:256" x14ac:dyDescent="0.2">
      <c r="A74" s="13" t="s">
        <v>127</v>
      </c>
      <c r="B74" s="8" t="s">
        <v>137</v>
      </c>
      <c r="C74" s="7" t="s">
        <v>19</v>
      </c>
      <c r="D74" s="7" t="s">
        <v>19</v>
      </c>
      <c r="E74" s="7" t="s">
        <v>19</v>
      </c>
      <c r="F74" s="7" t="s">
        <v>19</v>
      </c>
      <c r="G74" s="7" t="s">
        <v>140</v>
      </c>
      <c r="H74">
        <v>0.25</v>
      </c>
      <c r="I74">
        <v>1</v>
      </c>
      <c r="J74">
        <v>2</v>
      </c>
      <c r="K74">
        <v>2</v>
      </c>
      <c r="L74">
        <f t="shared" si="13"/>
        <v>6.5458333333333327E-2</v>
      </c>
      <c r="M74">
        <f t="shared" si="14"/>
        <v>1.0473333333333332</v>
      </c>
      <c r="N74">
        <f t="shared" si="15"/>
        <v>0.25000003465736143</v>
      </c>
      <c r="O74">
        <f t="shared" si="16"/>
        <v>0.62996055405779472</v>
      </c>
      <c r="P74" s="9">
        <v>9.300000000000001E-10</v>
      </c>
      <c r="Q74" s="7" t="s">
        <v>128</v>
      </c>
      <c r="R74" s="7"/>
      <c r="S74" s="7"/>
      <c r="T74" s="7"/>
      <c r="U74" s="7"/>
      <c r="V74" s="10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</row>
    <row r="75" spans="1:256" x14ac:dyDescent="0.2">
      <c r="A75" s="13" t="s">
        <v>127</v>
      </c>
      <c r="B75" s="8" t="s">
        <v>125</v>
      </c>
      <c r="C75" s="7">
        <v>50</v>
      </c>
      <c r="D75" s="7">
        <f t="shared" ref="D75:D77" si="20">39937/1000</f>
        <v>39.936999999999998</v>
      </c>
      <c r="E75" s="7">
        <f t="shared" ref="E75:E80" si="21">(10^(1.01219))*D75^0.27173</f>
        <v>28.011202157228769</v>
      </c>
      <c r="F75" s="7">
        <v>25</v>
      </c>
      <c r="G75" s="7" t="s">
        <v>141</v>
      </c>
      <c r="H75">
        <v>0.25</v>
      </c>
      <c r="I75">
        <v>1</v>
      </c>
      <c r="J75">
        <v>2</v>
      </c>
      <c r="K75">
        <v>2</v>
      </c>
      <c r="L75">
        <f t="shared" si="13"/>
        <v>6.5458333333333327E-2</v>
      </c>
      <c r="M75">
        <f t="shared" si="14"/>
        <v>1.0473333333333332</v>
      </c>
      <c r="N75">
        <f t="shared" si="15"/>
        <v>0.25000003465736143</v>
      </c>
      <c r="O75">
        <f t="shared" si="16"/>
        <v>0.62996055405779472</v>
      </c>
      <c r="P75" s="9">
        <v>5.6999999999999998E-9</v>
      </c>
      <c r="Q75" s="7" t="s">
        <v>128</v>
      </c>
      <c r="R75" s="7"/>
      <c r="S75" s="7"/>
      <c r="T75" s="7"/>
      <c r="U75" s="7"/>
      <c r="V75" s="10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</row>
    <row r="76" spans="1:256" x14ac:dyDescent="0.2">
      <c r="A76" s="13" t="s">
        <v>127</v>
      </c>
      <c r="B76" s="8" t="s">
        <v>125</v>
      </c>
      <c r="C76" s="7">
        <v>50</v>
      </c>
      <c r="D76" s="7">
        <f t="shared" si="20"/>
        <v>39.936999999999998</v>
      </c>
      <c r="E76" s="7">
        <f t="shared" si="21"/>
        <v>28.011202157228769</v>
      </c>
      <c r="F76" s="7">
        <v>25</v>
      </c>
      <c r="G76" s="7" t="s">
        <v>142</v>
      </c>
      <c r="H76">
        <v>0.25</v>
      </c>
      <c r="I76">
        <v>1</v>
      </c>
      <c r="J76">
        <v>2</v>
      </c>
      <c r="K76">
        <v>2</v>
      </c>
      <c r="L76">
        <f t="shared" si="13"/>
        <v>6.5458333333333327E-2</v>
      </c>
      <c r="M76">
        <f t="shared" si="14"/>
        <v>1.0473333333333332</v>
      </c>
      <c r="N76">
        <f t="shared" si="15"/>
        <v>0.25000003465736143</v>
      </c>
      <c r="O76">
        <f t="shared" si="16"/>
        <v>0.62996055405779472</v>
      </c>
      <c r="P76" s="9">
        <v>6.2000000000000009E-9</v>
      </c>
      <c r="Q76" s="7" t="s">
        <v>128</v>
      </c>
      <c r="R76" s="7"/>
      <c r="S76" s="7"/>
      <c r="T76" s="7"/>
      <c r="U76" s="7"/>
      <c r="V76" s="10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</row>
    <row r="77" spans="1:256" x14ac:dyDescent="0.2">
      <c r="A77" s="13" t="s">
        <v>127</v>
      </c>
      <c r="B77" s="8" t="s">
        <v>125</v>
      </c>
      <c r="C77" s="7">
        <v>50</v>
      </c>
      <c r="D77" s="7">
        <f t="shared" si="20"/>
        <v>39.936999999999998</v>
      </c>
      <c r="E77" s="7">
        <f t="shared" si="21"/>
        <v>28.011202157228769</v>
      </c>
      <c r="F77" s="7">
        <v>25</v>
      </c>
      <c r="G77" s="7" t="s">
        <v>143</v>
      </c>
      <c r="H77">
        <v>0.25</v>
      </c>
      <c r="I77">
        <v>1</v>
      </c>
      <c r="J77">
        <v>2</v>
      </c>
      <c r="K77">
        <v>2</v>
      </c>
      <c r="L77">
        <f t="shared" si="13"/>
        <v>6.5458333333333327E-2</v>
      </c>
      <c r="M77">
        <f t="shared" si="14"/>
        <v>1.0473333333333332</v>
      </c>
      <c r="N77">
        <f t="shared" si="15"/>
        <v>0.25000003465736143</v>
      </c>
      <c r="O77">
        <f t="shared" si="16"/>
        <v>0.62996055405779472</v>
      </c>
      <c r="P77" s="9">
        <v>9.6999999999999996E-10</v>
      </c>
      <c r="Q77" s="7" t="s">
        <v>128</v>
      </c>
      <c r="R77" s="7"/>
      <c r="S77" s="7"/>
      <c r="T77" s="7"/>
      <c r="U77" s="7"/>
      <c r="V77" s="10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</row>
    <row r="78" spans="1:256" s="16" customFormat="1" x14ac:dyDescent="0.2">
      <c r="A78" s="16" t="s">
        <v>144</v>
      </c>
      <c r="B78" s="17" t="s">
        <v>145</v>
      </c>
      <c r="C78" s="16">
        <v>50</v>
      </c>
      <c r="D78" s="16">
        <v>46</v>
      </c>
      <c r="E78" s="7">
        <f t="shared" si="21"/>
        <v>29.107920868868085</v>
      </c>
      <c r="F78" s="7">
        <v>25</v>
      </c>
      <c r="G78" s="16" t="s">
        <v>146</v>
      </c>
      <c r="H78">
        <v>0.5</v>
      </c>
      <c r="I78">
        <v>0.5</v>
      </c>
      <c r="J78">
        <v>2</v>
      </c>
      <c r="K78">
        <v>2</v>
      </c>
      <c r="L78">
        <f t="shared" si="13"/>
        <v>0.26183333333333331</v>
      </c>
      <c r="M78">
        <f t="shared" si="14"/>
        <v>0.26183333333333331</v>
      </c>
      <c r="N78">
        <f t="shared" si="15"/>
        <v>0.3968502996688037</v>
      </c>
      <c r="O78">
        <f t="shared" si="16"/>
        <v>0.3968502996688037</v>
      </c>
      <c r="P78" s="1">
        <v>3.6999999999999996E-10</v>
      </c>
      <c r="Q78" s="16" t="s">
        <v>147</v>
      </c>
      <c r="V78" s="18"/>
    </row>
    <row r="79" spans="1:256" s="20" customFormat="1" x14ac:dyDescent="0.2">
      <c r="A79" s="19" t="s">
        <v>148</v>
      </c>
      <c r="B79" s="17" t="s">
        <v>149</v>
      </c>
      <c r="C79" s="16">
        <v>50</v>
      </c>
      <c r="D79" s="16">
        <f>43028/1000</f>
        <v>43.027999999999999</v>
      </c>
      <c r="E79" s="7">
        <f t="shared" si="21"/>
        <v>28.58440803595462</v>
      </c>
      <c r="F79" s="7">
        <v>25</v>
      </c>
      <c r="G79" s="16" t="s">
        <v>150</v>
      </c>
      <c r="H79">
        <v>0.2</v>
      </c>
      <c r="I79">
        <v>0.2</v>
      </c>
      <c r="J79">
        <v>1</v>
      </c>
      <c r="K79">
        <v>1</v>
      </c>
      <c r="L79">
        <f t="shared" si="13"/>
        <v>2.0946666666666669E-2</v>
      </c>
      <c r="M79">
        <f t="shared" si="14"/>
        <v>2.0946666666666669E-2</v>
      </c>
      <c r="N79">
        <f t="shared" si="15"/>
        <v>0.17099762486765657</v>
      </c>
      <c r="O79">
        <f t="shared" si="16"/>
        <v>0.17099762486765657</v>
      </c>
      <c r="P79" s="1">
        <v>1.0635000000000001E-9</v>
      </c>
      <c r="Q79" s="16" t="s">
        <v>151</v>
      </c>
      <c r="R79" s="16"/>
      <c r="S79" s="16"/>
      <c r="T79" s="16"/>
      <c r="U79" s="16"/>
      <c r="V79" s="18"/>
    </row>
    <row r="80" spans="1:256" s="20" customFormat="1" x14ac:dyDescent="0.2">
      <c r="A80" s="19" t="s">
        <v>152</v>
      </c>
      <c r="B80" s="17" t="s">
        <v>153</v>
      </c>
      <c r="C80" s="16">
        <v>56</v>
      </c>
      <c r="D80" s="16">
        <v>43</v>
      </c>
      <c r="E80" s="7">
        <f t="shared" si="21"/>
        <v>28.579352390634444</v>
      </c>
      <c r="F80" s="7">
        <v>28</v>
      </c>
      <c r="G80" s="16" t="s">
        <v>154</v>
      </c>
      <c r="H80">
        <v>1</v>
      </c>
      <c r="I80">
        <v>1</v>
      </c>
      <c r="J80">
        <v>1</v>
      </c>
      <c r="K80">
        <v>1</v>
      </c>
      <c r="L80">
        <f t="shared" si="13"/>
        <v>0.52366666666666661</v>
      </c>
      <c r="M80">
        <f t="shared" si="14"/>
        <v>0.52366666666666661</v>
      </c>
      <c r="N80">
        <f t="shared" si="15"/>
        <v>0.5000000346573602</v>
      </c>
      <c r="O80">
        <f t="shared" si="16"/>
        <v>0.5000000346573602</v>
      </c>
      <c r="P80" s="1">
        <v>4.5360000000000002E-10</v>
      </c>
      <c r="Q80" s="16" t="s">
        <v>155</v>
      </c>
      <c r="R80" s="16"/>
      <c r="S80" s="16"/>
      <c r="T80" s="16"/>
      <c r="U80" s="16"/>
      <c r="V80" s="18"/>
    </row>
    <row r="81" spans="1:22" s="20" customFormat="1" x14ac:dyDescent="0.2">
      <c r="A81" s="19" t="s">
        <v>63</v>
      </c>
      <c r="B81" s="17" t="s">
        <v>156</v>
      </c>
      <c r="C81" s="16">
        <v>72</v>
      </c>
      <c r="D81" s="7" t="s">
        <v>19</v>
      </c>
      <c r="E81" s="7" t="s">
        <v>19</v>
      </c>
      <c r="F81" s="7">
        <v>36</v>
      </c>
      <c r="G81" s="16" t="s">
        <v>157</v>
      </c>
      <c r="H81">
        <v>0.5</v>
      </c>
      <c r="I81">
        <v>0.9</v>
      </c>
      <c r="J81">
        <v>1.2</v>
      </c>
      <c r="K81">
        <v>3</v>
      </c>
      <c r="L81">
        <f t="shared" si="13"/>
        <v>0.15709999999999999</v>
      </c>
      <c r="M81">
        <f t="shared" si="14"/>
        <v>1.27251</v>
      </c>
      <c r="N81">
        <f t="shared" si="15"/>
        <v>0.33471651167484928</v>
      </c>
      <c r="O81">
        <f t="shared" si="16"/>
        <v>0.67221073868267067</v>
      </c>
      <c r="P81" s="1">
        <v>3.5999999999999998E-11</v>
      </c>
      <c r="Q81" s="16" t="s">
        <v>158</v>
      </c>
      <c r="R81" s="16"/>
      <c r="S81" s="16"/>
      <c r="T81" s="16"/>
      <c r="U81" s="16"/>
      <c r="V81" s="18"/>
    </row>
    <row r="82" spans="1:22" s="20" customFormat="1" x14ac:dyDescent="0.2">
      <c r="A82" s="19" t="s">
        <v>159</v>
      </c>
      <c r="B82" s="17" t="s">
        <v>160</v>
      </c>
      <c r="C82" s="7" t="s">
        <v>19</v>
      </c>
      <c r="D82" s="7" t="s">
        <v>19</v>
      </c>
      <c r="E82" s="7" t="s">
        <v>19</v>
      </c>
      <c r="F82" s="7" t="s">
        <v>19</v>
      </c>
      <c r="G82" s="16" t="s">
        <v>157</v>
      </c>
      <c r="H82">
        <v>0.5</v>
      </c>
      <c r="I82">
        <v>0.9</v>
      </c>
      <c r="J82">
        <v>1.2</v>
      </c>
      <c r="K82">
        <v>3</v>
      </c>
      <c r="L82">
        <f t="shared" si="13"/>
        <v>0.15709999999999999</v>
      </c>
      <c r="M82">
        <f t="shared" si="14"/>
        <v>1.27251</v>
      </c>
      <c r="N82">
        <f t="shared" si="15"/>
        <v>0.33471651167484928</v>
      </c>
      <c r="O82">
        <f t="shared" si="16"/>
        <v>0.67221073868267067</v>
      </c>
      <c r="P82" s="1">
        <v>5.4199999999999998E-11</v>
      </c>
      <c r="Q82" s="16" t="s">
        <v>158</v>
      </c>
      <c r="R82" s="16"/>
      <c r="S82" s="16"/>
      <c r="T82" s="16"/>
      <c r="U82" s="16"/>
      <c r="V82" s="18"/>
    </row>
    <row r="83" spans="1:22" s="20" customFormat="1" x14ac:dyDescent="0.2">
      <c r="A83" s="16" t="s">
        <v>61</v>
      </c>
      <c r="B83" s="17" t="s">
        <v>161</v>
      </c>
      <c r="C83" s="7" t="s">
        <v>19</v>
      </c>
      <c r="D83" s="7" t="s">
        <v>19</v>
      </c>
      <c r="E83" s="7" t="s">
        <v>19</v>
      </c>
      <c r="F83" s="7" t="s">
        <v>19</v>
      </c>
      <c r="G83" s="16" t="s">
        <v>20</v>
      </c>
      <c r="H83">
        <v>0.5</v>
      </c>
      <c r="I83">
        <v>1</v>
      </c>
      <c r="J83">
        <v>1</v>
      </c>
      <c r="K83">
        <v>5</v>
      </c>
      <c r="L83">
        <f t="shared" si="13"/>
        <v>0.13091666666666665</v>
      </c>
      <c r="M83">
        <f t="shared" si="14"/>
        <v>2.6183333333333332</v>
      </c>
      <c r="N83">
        <f t="shared" si="15"/>
        <v>0.31498029886166723</v>
      </c>
      <c r="O83">
        <f t="shared" si="16"/>
        <v>0.85498798673326359</v>
      </c>
      <c r="P83" s="1">
        <v>4.8398003685082662E-9</v>
      </c>
      <c r="Q83" s="16" t="s">
        <v>162</v>
      </c>
      <c r="R83" s="16"/>
      <c r="S83" s="16"/>
      <c r="T83" s="16"/>
      <c r="U83" s="16"/>
      <c r="V83" s="18"/>
    </row>
    <row r="84" spans="1:22" s="20" customFormat="1" x14ac:dyDescent="0.2">
      <c r="A84" s="16" t="s">
        <v>163</v>
      </c>
      <c r="B84" s="17">
        <v>2</v>
      </c>
      <c r="C84" s="7" t="s">
        <v>19</v>
      </c>
      <c r="D84" s="7" t="s">
        <v>19</v>
      </c>
      <c r="E84" s="7" t="s">
        <v>19</v>
      </c>
      <c r="F84" s="7" t="s">
        <v>19</v>
      </c>
      <c r="G84" s="16" t="s">
        <v>20</v>
      </c>
      <c r="H84">
        <v>0.5</v>
      </c>
      <c r="I84">
        <v>1</v>
      </c>
      <c r="J84">
        <v>1</v>
      </c>
      <c r="K84">
        <v>5</v>
      </c>
      <c r="L84">
        <f t="shared" si="13"/>
        <v>0.13091666666666665</v>
      </c>
      <c r="M84">
        <f t="shared" si="14"/>
        <v>2.6183333333333332</v>
      </c>
      <c r="N84">
        <f t="shared" si="15"/>
        <v>0.31498029886166723</v>
      </c>
      <c r="O84">
        <f t="shared" si="16"/>
        <v>0.85498798673326359</v>
      </c>
      <c r="P84" s="1">
        <v>1.0240000000000001E-8</v>
      </c>
      <c r="Q84" s="16" t="s">
        <v>164</v>
      </c>
      <c r="R84" s="16"/>
      <c r="S84" s="16"/>
      <c r="T84" s="16"/>
      <c r="U84" s="16"/>
      <c r="V84" s="18"/>
    </row>
    <row r="85" spans="1:22" s="20" customFormat="1" x14ac:dyDescent="0.2">
      <c r="A85" s="19" t="s">
        <v>94</v>
      </c>
      <c r="B85" s="17" t="s">
        <v>165</v>
      </c>
      <c r="C85" s="7" t="s">
        <v>19</v>
      </c>
      <c r="D85" s="16">
        <f>40931/1000</f>
        <v>40.930999999999997</v>
      </c>
      <c r="E85" s="7">
        <f t="shared" ref="E85:E89" si="22">(10^(1.01219))*D85^0.27173</f>
        <v>28.19895318119833</v>
      </c>
      <c r="F85" s="7">
        <v>28.198953181198327</v>
      </c>
      <c r="G85" s="16" t="s">
        <v>96</v>
      </c>
      <c r="H85">
        <v>0.7</v>
      </c>
      <c r="I85">
        <v>1.1000000000000001</v>
      </c>
      <c r="J85">
        <v>2</v>
      </c>
      <c r="K85">
        <v>4</v>
      </c>
      <c r="L85">
        <f t="shared" si="13"/>
        <v>0.51319333333333317</v>
      </c>
      <c r="M85">
        <f t="shared" si="14"/>
        <v>2.5345466666666669</v>
      </c>
      <c r="N85">
        <f t="shared" si="15"/>
        <v>0.49664422894883975</v>
      </c>
      <c r="O85">
        <f t="shared" si="16"/>
        <v>0.84576906997888013</v>
      </c>
      <c r="P85" s="1">
        <v>8.5488823979250769E-11</v>
      </c>
      <c r="Q85" s="16" t="s">
        <v>166</v>
      </c>
      <c r="R85" s="16"/>
      <c r="S85" s="16"/>
      <c r="T85" s="16"/>
      <c r="U85" s="16"/>
      <c r="V85" s="18"/>
    </row>
    <row r="86" spans="1:22" s="20" customFormat="1" x14ac:dyDescent="0.2">
      <c r="A86" s="19" t="s">
        <v>167</v>
      </c>
      <c r="B86" s="17" t="s">
        <v>168</v>
      </c>
      <c r="C86" s="16">
        <v>59</v>
      </c>
      <c r="D86" s="16">
        <v>36.700000000000003</v>
      </c>
      <c r="E86" s="7">
        <f t="shared" si="22"/>
        <v>27.37516273920783</v>
      </c>
      <c r="F86" s="7">
        <v>29.5</v>
      </c>
      <c r="G86" s="16" t="s">
        <v>169</v>
      </c>
      <c r="H86">
        <v>1</v>
      </c>
      <c r="I86">
        <v>1</v>
      </c>
      <c r="J86">
        <v>3</v>
      </c>
      <c r="K86">
        <v>4</v>
      </c>
      <c r="L86">
        <f t="shared" si="13"/>
        <v>1.5709999999999997</v>
      </c>
      <c r="M86">
        <f t="shared" si="14"/>
        <v>2.0946666666666665</v>
      </c>
      <c r="N86">
        <f t="shared" si="15"/>
        <v>0.72112480873038065</v>
      </c>
      <c r="O86">
        <f t="shared" si="16"/>
        <v>0.79370054432247605</v>
      </c>
      <c r="P86" s="1">
        <v>4.5099999999999999E-10</v>
      </c>
      <c r="Q86" s="16" t="s">
        <v>170</v>
      </c>
      <c r="R86" s="16"/>
      <c r="S86" s="16"/>
      <c r="T86" s="16"/>
      <c r="U86" s="16"/>
      <c r="V86" s="18"/>
    </row>
    <row r="87" spans="1:22" s="20" customFormat="1" x14ac:dyDescent="0.2">
      <c r="A87" s="19" t="s">
        <v>171</v>
      </c>
      <c r="B87" s="17" t="s">
        <v>172</v>
      </c>
      <c r="C87" s="7" t="s">
        <v>19</v>
      </c>
      <c r="D87" s="16">
        <v>45</v>
      </c>
      <c r="E87" s="7">
        <f t="shared" si="22"/>
        <v>28.934596897665848</v>
      </c>
      <c r="F87" s="7">
        <v>28.934596897665852</v>
      </c>
      <c r="G87" s="16" t="s">
        <v>173</v>
      </c>
      <c r="H87">
        <v>0.5</v>
      </c>
      <c r="I87">
        <v>0.9</v>
      </c>
      <c r="J87">
        <v>1.2</v>
      </c>
      <c r="K87">
        <v>3</v>
      </c>
      <c r="L87">
        <f t="shared" si="13"/>
        <v>0.15709999999999999</v>
      </c>
      <c r="M87">
        <f t="shared" si="14"/>
        <v>1.27251</v>
      </c>
      <c r="N87">
        <f t="shared" si="15"/>
        <v>0.33471651167484928</v>
      </c>
      <c r="O87">
        <f t="shared" si="16"/>
        <v>0.67221073868267067</v>
      </c>
      <c r="P87" s="1">
        <v>1.1333333333333333E-11</v>
      </c>
      <c r="Q87" s="16" t="s">
        <v>174</v>
      </c>
      <c r="R87" s="16"/>
      <c r="S87" s="16"/>
      <c r="T87" s="16"/>
      <c r="U87" s="16"/>
      <c r="V87" s="18"/>
    </row>
    <row r="88" spans="1:22" s="20" customFormat="1" x14ac:dyDescent="0.2">
      <c r="A88" s="19" t="s">
        <v>171</v>
      </c>
      <c r="B88" s="17" t="s">
        <v>175</v>
      </c>
      <c r="C88" s="7" t="s">
        <v>19</v>
      </c>
      <c r="D88" s="16">
        <v>45</v>
      </c>
      <c r="E88" s="7">
        <f t="shared" si="22"/>
        <v>28.934596897665848</v>
      </c>
      <c r="F88" s="7">
        <v>28.934596897665852</v>
      </c>
      <c r="G88" s="16" t="s">
        <v>173</v>
      </c>
      <c r="H88">
        <v>0.5</v>
      </c>
      <c r="I88">
        <v>0.9</v>
      </c>
      <c r="J88">
        <v>1.2</v>
      </c>
      <c r="K88">
        <v>3</v>
      </c>
      <c r="L88">
        <f t="shared" si="13"/>
        <v>0.15709999999999999</v>
      </c>
      <c r="M88">
        <f t="shared" si="14"/>
        <v>1.27251</v>
      </c>
      <c r="N88">
        <f t="shared" si="15"/>
        <v>0.33471651167484928</v>
      </c>
      <c r="O88">
        <f t="shared" si="16"/>
        <v>0.67221073868267067</v>
      </c>
      <c r="P88" s="1">
        <v>1.0333333333333335E-11</v>
      </c>
      <c r="Q88" s="16" t="s">
        <v>174</v>
      </c>
      <c r="R88" s="16"/>
      <c r="S88" s="16"/>
      <c r="T88" s="16"/>
      <c r="U88" s="16"/>
      <c r="V88" s="18"/>
    </row>
    <row r="89" spans="1:22" s="20" customFormat="1" x14ac:dyDescent="0.2">
      <c r="A89" s="19" t="s">
        <v>171</v>
      </c>
      <c r="B89" s="17" t="s">
        <v>176</v>
      </c>
      <c r="C89" s="7" t="s">
        <v>19</v>
      </c>
      <c r="D89" s="16">
        <v>45</v>
      </c>
      <c r="E89" s="7">
        <f t="shared" si="22"/>
        <v>28.934596897665848</v>
      </c>
      <c r="F89" s="7">
        <v>28.934596897665852</v>
      </c>
      <c r="G89" s="16" t="s">
        <v>173</v>
      </c>
      <c r="H89">
        <v>0.5</v>
      </c>
      <c r="I89">
        <v>0.9</v>
      </c>
      <c r="J89">
        <v>1.2</v>
      </c>
      <c r="K89">
        <v>3</v>
      </c>
      <c r="L89">
        <f t="shared" si="13"/>
        <v>0.15709999999999999</v>
      </c>
      <c r="M89">
        <f t="shared" si="14"/>
        <v>1.27251</v>
      </c>
      <c r="N89">
        <f t="shared" si="15"/>
        <v>0.33471651167484928</v>
      </c>
      <c r="O89">
        <f t="shared" si="16"/>
        <v>0.67221073868267067</v>
      </c>
      <c r="P89" s="1">
        <v>5.0000000000000005E-12</v>
      </c>
      <c r="Q89" s="16" t="s">
        <v>174</v>
      </c>
      <c r="R89" s="16"/>
      <c r="S89" s="16"/>
      <c r="T89" s="16"/>
      <c r="U89" s="16"/>
      <c r="V89" s="18"/>
    </row>
    <row r="90" spans="1:22" s="16" customFormat="1" x14ac:dyDescent="0.2">
      <c r="A90" s="19" t="s">
        <v>177</v>
      </c>
      <c r="B90" s="17" t="s">
        <v>178</v>
      </c>
      <c r="C90" s="7" t="s">
        <v>19</v>
      </c>
      <c r="D90" s="16" t="s">
        <v>19</v>
      </c>
      <c r="E90" s="7" t="s">
        <v>19</v>
      </c>
      <c r="F90" s="7" t="s">
        <v>19</v>
      </c>
      <c r="G90" s="16" t="s">
        <v>154</v>
      </c>
      <c r="H90">
        <v>1</v>
      </c>
      <c r="I90">
        <v>1</v>
      </c>
      <c r="J90">
        <v>1</v>
      </c>
      <c r="K90">
        <v>1</v>
      </c>
      <c r="L90">
        <f t="shared" si="13"/>
        <v>0.52366666666666661</v>
      </c>
      <c r="M90">
        <f t="shared" si="14"/>
        <v>0.52366666666666661</v>
      </c>
      <c r="N90">
        <f t="shared" si="15"/>
        <v>0.5000000346573602</v>
      </c>
      <c r="O90">
        <f t="shared" si="16"/>
        <v>0.5000000346573602</v>
      </c>
      <c r="P90" s="1">
        <v>1.8220000000000003E-10</v>
      </c>
      <c r="Q90" s="16" t="s">
        <v>179</v>
      </c>
      <c r="V90" s="18"/>
    </row>
    <row r="91" spans="1:22" s="16" customFormat="1" x14ac:dyDescent="0.2">
      <c r="A91" s="19" t="s">
        <v>180</v>
      </c>
      <c r="B91" s="17">
        <v>80</v>
      </c>
      <c r="C91" s="7" t="s">
        <v>19</v>
      </c>
      <c r="D91" s="16" t="s">
        <v>19</v>
      </c>
      <c r="E91" s="7" t="s">
        <v>19</v>
      </c>
      <c r="F91" s="7" t="s">
        <v>19</v>
      </c>
      <c r="G91" s="16" t="s">
        <v>154</v>
      </c>
      <c r="H91">
        <v>1</v>
      </c>
      <c r="I91">
        <v>1</v>
      </c>
      <c r="J91">
        <v>1</v>
      </c>
      <c r="K91">
        <v>1</v>
      </c>
      <c r="L91">
        <f t="shared" si="13"/>
        <v>0.52366666666666661</v>
      </c>
      <c r="M91">
        <f t="shared" si="14"/>
        <v>0.52366666666666661</v>
      </c>
      <c r="N91">
        <f t="shared" si="15"/>
        <v>0.5000000346573602</v>
      </c>
      <c r="O91">
        <f t="shared" si="16"/>
        <v>0.5000000346573602</v>
      </c>
      <c r="P91" s="1">
        <v>4.8000000000000005E-12</v>
      </c>
      <c r="Q91" s="16" t="s">
        <v>179</v>
      </c>
      <c r="V91" s="18"/>
    </row>
  </sheetData>
  <sheetProtection selectLockedCells="1" selectUnlockedCells="1"/>
  <pageMargins left="0.75" right="0.75" top="1" bottom="1" header="0.51180555555555551" footer="0.51180555555555551"/>
  <pageSetup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324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Talmy</dc:creator>
  <cp:keywords/>
  <dc:description/>
  <cp:lastModifiedBy>Page-Roth, Jackson Robert</cp:lastModifiedBy>
  <cp:revision>8</cp:revision>
  <cp:lastPrinted>1601-01-01T00:00:00Z</cp:lastPrinted>
  <dcterms:created xsi:type="dcterms:W3CDTF">2017-11-02T18:45:23Z</dcterms:created>
  <dcterms:modified xsi:type="dcterms:W3CDTF">2026-05-27T18:15:38Z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MIT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